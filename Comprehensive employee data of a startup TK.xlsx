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8bd60b8f429f53/Documents/"/>
    </mc:Choice>
  </mc:AlternateContent>
  <xr:revisionPtr revIDLastSave="888" documentId="8_{0C3F4138-80DF-4716-AD2C-64E9BFB84D5D}" xr6:coauthVersionLast="47" xr6:coauthVersionMax="47" xr10:uidLastSave="{9E5B1189-ADC3-4B35-B67F-B6608581A460}"/>
  <bookViews>
    <workbookView xWindow="-108" yWindow="-108" windowWidth="23256" windowHeight="12456" xr2:uid="{02A87BA5-FEA4-4B40-B1C7-3B0786B4950F}"/>
  </bookViews>
  <sheets>
    <sheet name="Employee Master" sheetId="3" r:id="rId1"/>
    <sheet name="PAYROLL UPDATE" sheetId="5" r:id="rId2"/>
    <sheet name="PIVOT TABLE" sheetId="13" r:id="rId3"/>
    <sheet name="GRAPHS" sheetId="9" r:id="rId4"/>
    <sheet name="SALARY VISUALISATION" sheetId="10" r:id="rId5"/>
  </sheet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3" l="1"/>
  <c r="G18" i="3"/>
  <c r="J3" i="3"/>
  <c r="J4" i="3"/>
  <c r="J5" i="3"/>
  <c r="J6" i="3"/>
  <c r="J7" i="3"/>
  <c r="J8" i="3"/>
  <c r="J9" i="3"/>
  <c r="J10" i="3"/>
  <c r="J11" i="3"/>
  <c r="J12" i="3"/>
  <c r="J13" i="3"/>
  <c r="J14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L3" i="3"/>
  <c r="L4" i="3"/>
  <c r="L6" i="3"/>
  <c r="L7" i="3"/>
  <c r="L8" i="3"/>
  <c r="L9" i="3"/>
  <c r="L10" i="3"/>
  <c r="L11" i="3"/>
  <c r="L12" i="3"/>
  <c r="L13" i="3"/>
  <c r="L14" i="3"/>
  <c r="L15" i="3"/>
  <c r="G19" i="5"/>
  <c r="H19" i="5"/>
  <c r="C15" i="5"/>
  <c r="H7" i="5"/>
  <c r="I7" i="5" s="1"/>
  <c r="H12" i="5"/>
  <c r="I12" i="5" s="1"/>
  <c r="H14" i="5"/>
  <c r="I14" i="5" s="1"/>
  <c r="G13" i="5"/>
  <c r="H13" i="5" s="1"/>
  <c r="I13" i="5" s="1"/>
  <c r="G11" i="5"/>
  <c r="H11" i="5" s="1"/>
  <c r="I11" i="5" s="1"/>
  <c r="G10" i="5"/>
  <c r="H10" i="5" s="1"/>
  <c r="G9" i="5"/>
  <c r="H9" i="5" s="1"/>
  <c r="I9" i="5" s="1"/>
  <c r="G8" i="5"/>
  <c r="H8" i="5" s="1"/>
  <c r="I8" i="5" s="1"/>
  <c r="G6" i="5"/>
  <c r="H6" i="5" s="1"/>
  <c r="I6" i="5" s="1"/>
  <c r="G5" i="5"/>
  <c r="H5" i="5" s="1"/>
  <c r="I5" i="5" s="1"/>
  <c r="G4" i="5"/>
  <c r="H4" i="5" s="1"/>
  <c r="I4" i="5" s="1"/>
  <c r="G3" i="5"/>
  <c r="H3" i="5" s="1"/>
  <c r="J3" i="5" s="1"/>
  <c r="F4" i="5"/>
  <c r="F5" i="5"/>
  <c r="F6" i="5"/>
  <c r="F7" i="5"/>
  <c r="F8" i="5"/>
  <c r="F9" i="5"/>
  <c r="F10" i="5"/>
  <c r="F11" i="5"/>
  <c r="F12" i="5"/>
  <c r="F13" i="5"/>
  <c r="F14" i="5"/>
  <c r="F3" i="5"/>
  <c r="J14" i="5" l="1"/>
  <c r="J12" i="5"/>
  <c r="I10" i="5"/>
  <c r="J10" i="5"/>
  <c r="J9" i="5"/>
  <c r="J8" i="5"/>
  <c r="J7" i="5"/>
  <c r="F15" i="5"/>
  <c r="J6" i="5"/>
  <c r="J5" i="5"/>
  <c r="J13" i="5"/>
  <c r="J11" i="5"/>
  <c r="J4" i="5"/>
  <c r="I3" i="5"/>
  <c r="H15" i="5"/>
  <c r="I15" i="5" l="1"/>
</calcChain>
</file>

<file path=xl/sharedStrings.xml><?xml version="1.0" encoding="utf-8"?>
<sst xmlns="http://schemas.openxmlformats.org/spreadsheetml/2006/main" count="140" uniqueCount="80">
  <si>
    <t>Employee Master</t>
  </si>
  <si>
    <t xml:space="preserve">EMPlOYEE IDs </t>
  </si>
  <si>
    <t>NAMES</t>
  </si>
  <si>
    <t>DEPARTMENT</t>
  </si>
  <si>
    <t>PAYROLL</t>
  </si>
  <si>
    <t>ALLOWENCE</t>
  </si>
  <si>
    <t>DEDUCTIONS</t>
  </si>
  <si>
    <t>PERFORMANCE SCORE</t>
  </si>
  <si>
    <t>WORK HOURS MONTH</t>
  </si>
  <si>
    <t xml:space="preserve">NET SALARY </t>
  </si>
  <si>
    <t>HIGH PERFORMENCE</t>
  </si>
  <si>
    <t xml:space="preserve">RISK </t>
  </si>
  <si>
    <t xml:space="preserve">E001  </t>
  </si>
  <si>
    <t xml:space="preserve">Aditi  </t>
  </si>
  <si>
    <t>Sales</t>
  </si>
  <si>
    <t xml:space="preserve">E002  </t>
  </si>
  <si>
    <t xml:space="preserve">Rohan  </t>
  </si>
  <si>
    <t>IT</t>
  </si>
  <si>
    <t xml:space="preserve">E003  </t>
  </si>
  <si>
    <t xml:space="preserve">Meena  </t>
  </si>
  <si>
    <t>HR</t>
  </si>
  <si>
    <t xml:space="preserve">E004  </t>
  </si>
  <si>
    <t xml:space="preserve">Arjun  </t>
  </si>
  <si>
    <t>Finance</t>
  </si>
  <si>
    <t xml:space="preserve">E005  </t>
  </si>
  <si>
    <t xml:space="preserve">Kavita  </t>
  </si>
  <si>
    <t xml:space="preserve">E006  </t>
  </si>
  <si>
    <t xml:space="preserve">Sameer  </t>
  </si>
  <si>
    <t xml:space="preserve">E007  </t>
  </si>
  <si>
    <t xml:space="preserve">Priya  </t>
  </si>
  <si>
    <t xml:space="preserve">E008  </t>
  </si>
  <si>
    <t xml:space="preserve">Manish  </t>
  </si>
  <si>
    <t>Operations</t>
  </si>
  <si>
    <t xml:space="preserve">E009  </t>
  </si>
  <si>
    <t xml:space="preserve">Neha  </t>
  </si>
  <si>
    <t xml:space="preserve">E010  </t>
  </si>
  <si>
    <t xml:space="preserve">Vikram  </t>
  </si>
  <si>
    <t xml:space="preserve">E011  </t>
  </si>
  <si>
    <t xml:space="preserve">Sneha  </t>
  </si>
  <si>
    <t>E012</t>
  </si>
  <si>
    <t>Rajesh</t>
  </si>
  <si>
    <t>CORELATION OF HOURS AND SALARY</t>
  </si>
  <si>
    <t xml:space="preserve">INCREMENT RATE </t>
  </si>
  <si>
    <t>DEPARMENTS</t>
  </si>
  <si>
    <t>INCREMENT RATE</t>
  </si>
  <si>
    <t xml:space="preserve">Sales  </t>
  </si>
  <si>
    <t xml:space="preserve">IT  </t>
  </si>
  <si>
    <t xml:space="preserve">HR  </t>
  </si>
  <si>
    <t xml:space="preserve">Finance  </t>
  </si>
  <si>
    <t>PAYROLL UPDATE</t>
  </si>
  <si>
    <t>EMPlOYEE IDs</t>
  </si>
  <si>
    <t>NET SALARY</t>
  </si>
  <si>
    <t xml:space="preserve">NEW PAYROLL </t>
  </si>
  <si>
    <t xml:space="preserve">NEW NET SALARY </t>
  </si>
  <si>
    <t>PAYROLL  INCRESE</t>
  </si>
  <si>
    <t xml:space="preserve">Operations  </t>
  </si>
  <si>
    <t xml:space="preserve">TOTAL </t>
  </si>
  <si>
    <t>MEAN</t>
  </si>
  <si>
    <t>MEDIAN</t>
  </si>
  <si>
    <t>MODE</t>
  </si>
  <si>
    <t>FAINANCE</t>
  </si>
  <si>
    <t>Column1</t>
  </si>
  <si>
    <t>SALES</t>
  </si>
  <si>
    <t>OPERATIONS</t>
  </si>
  <si>
    <t>SALARY VISUALISATION</t>
  </si>
  <si>
    <t>Row Labels</t>
  </si>
  <si>
    <t>Grand Total</t>
  </si>
  <si>
    <t>Sum of PAYROLL</t>
  </si>
  <si>
    <t>Sum of ALLOWENCE</t>
  </si>
  <si>
    <t>Sum of DEDUCTIONS</t>
  </si>
  <si>
    <t>Sum of NET SALARY</t>
  </si>
  <si>
    <t>Sum of INCREMENT RATE</t>
  </si>
  <si>
    <t xml:space="preserve">Sum of NEW PAYROLL </t>
  </si>
  <si>
    <t xml:space="preserve">Sum of NEW NET SALARY </t>
  </si>
  <si>
    <t>Sum of PAYROLL  INCRESE</t>
  </si>
  <si>
    <t>NAMES2</t>
  </si>
  <si>
    <t>IMAGE</t>
  </si>
  <si>
    <t>EMPLOYEE COUNT</t>
  </si>
  <si>
    <t>v</t>
  </si>
  <si>
    <t xml:space="preserve">PIVIOT 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</si>
</sst>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3" borderId="1" xfId="0" applyFont="1" applyFill="1" applyBorder="1"/>
    <xf numFmtId="0" fontId="0" fillId="0" borderId="2" xfId="0" applyBorder="1"/>
    <xf numFmtId="0" fontId="0" fillId="4" borderId="2" xfId="0" applyFill="1" applyBorder="1"/>
    <xf numFmtId="0" fontId="0" fillId="5" borderId="2" xfId="0" applyFill="1" applyBorder="1"/>
    <xf numFmtId="0" fontId="0" fillId="0" borderId="9" xfId="0" applyBorder="1"/>
    <xf numFmtId="0" fontId="0" fillId="5" borderId="9" xfId="0" applyFill="1" applyBorder="1"/>
    <xf numFmtId="0" fontId="0" fillId="6" borderId="11" xfId="0" applyFill="1" applyBorder="1"/>
    <xf numFmtId="0" fontId="0" fillId="6" borderId="12" xfId="0" applyFill="1" applyBorder="1"/>
    <xf numFmtId="3" fontId="0" fillId="0" borderId="0" xfId="0" applyNumberFormat="1"/>
    <xf numFmtId="0" fontId="0" fillId="4" borderId="6" xfId="0" applyFill="1" applyBorder="1"/>
    <xf numFmtId="0" fontId="0" fillId="5" borderId="6" xfId="0" applyFill="1" applyBorder="1"/>
    <xf numFmtId="0" fontId="0" fillId="4" borderId="7" xfId="0" applyFill="1" applyBorder="1"/>
    <xf numFmtId="0" fontId="0" fillId="5" borderId="7" xfId="0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0" fillId="5" borderId="8" xfId="0" applyFill="1" applyBorder="1"/>
    <xf numFmtId="0" fontId="0" fillId="5" borderId="10" xfId="0" applyFill="1" applyBorder="1"/>
    <xf numFmtId="0" fontId="0" fillId="7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3" fillId="0" borderId="6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0" xfId="0" applyFon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9" fillId="0" borderId="3" xfId="0" applyFont="1" applyBorder="1"/>
    <xf numFmtId="0" fontId="9" fillId="0" borderId="4" xfId="0" applyFont="1" applyBorder="1"/>
    <xf numFmtId="0" fontId="3" fillId="0" borderId="7" xfId="0" applyFont="1" applyBorder="1"/>
    <xf numFmtId="0" fontId="0" fillId="8" borderId="0" xfId="0" applyFill="1"/>
    <xf numFmtId="0" fontId="6" fillId="0" borderId="0" xfId="0" applyFont="1"/>
    <xf numFmtId="0" fontId="0" fillId="9" borderId="0" xfId="0" applyFill="1" applyAlignment="1">
      <alignment horizontal="center"/>
    </xf>
    <xf numFmtId="0" fontId="5" fillId="9" borderId="0" xfId="0" applyFont="1" applyFill="1" applyAlignment="1">
      <alignment horizontal="center"/>
    </xf>
  </cellXfs>
  <cellStyles count="1">
    <cellStyle name="Normal" xfId="0" builtinId="0"/>
  </cellStyles>
  <dxfs count="43"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92038495188101E-2"/>
          <c:y val="0.19486111111111112"/>
          <c:w val="0.86486351706036746"/>
          <c:h val="0.631664843977836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GRAPHS!$B$2</c:f>
              <c:strCache>
                <c:ptCount val="1"/>
                <c:pt idx="0">
                  <c:v>PAYROLL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GRAPHS!$A$3:$A$14</c:f>
              <c:strCache>
                <c:ptCount val="12"/>
                <c:pt idx="0">
                  <c:v>Aditi  </c:v>
                </c:pt>
                <c:pt idx="1">
                  <c:v>Rohan  </c:v>
                </c:pt>
                <c:pt idx="2">
                  <c:v>Meena  </c:v>
                </c:pt>
                <c:pt idx="3">
                  <c:v>Arjun  </c:v>
                </c:pt>
                <c:pt idx="4">
                  <c:v>Kavita  </c:v>
                </c:pt>
                <c:pt idx="5">
                  <c:v>Sameer  </c:v>
                </c:pt>
                <c:pt idx="6">
                  <c:v>Priya  </c:v>
                </c:pt>
                <c:pt idx="7">
                  <c:v>Manish  </c:v>
                </c:pt>
                <c:pt idx="8">
                  <c:v>Neha  </c:v>
                </c:pt>
                <c:pt idx="9">
                  <c:v>Vikram  </c:v>
                </c:pt>
                <c:pt idx="10">
                  <c:v>Sneha  </c:v>
                </c:pt>
                <c:pt idx="11">
                  <c:v>Rajesh</c:v>
                </c:pt>
              </c:strCache>
            </c:strRef>
          </c:cat>
          <c:val>
            <c:numRef>
              <c:f>GRAPHS!$B$3:$B$14</c:f>
              <c:numCache>
                <c:formatCode>General</c:formatCode>
                <c:ptCount val="12"/>
                <c:pt idx="0">
                  <c:v>32000</c:v>
                </c:pt>
                <c:pt idx="1">
                  <c:v>45000</c:v>
                </c:pt>
                <c:pt idx="2">
                  <c:v>28000</c:v>
                </c:pt>
                <c:pt idx="3">
                  <c:v>50000</c:v>
                </c:pt>
                <c:pt idx="4">
                  <c:v>35000</c:v>
                </c:pt>
                <c:pt idx="5">
                  <c:v>60000</c:v>
                </c:pt>
                <c:pt idx="6">
                  <c:v>30000</c:v>
                </c:pt>
                <c:pt idx="7">
                  <c:v>40000</c:v>
                </c:pt>
                <c:pt idx="8">
                  <c:v>55000</c:v>
                </c:pt>
                <c:pt idx="9">
                  <c:v>37000</c:v>
                </c:pt>
                <c:pt idx="10">
                  <c:v>48000</c:v>
                </c:pt>
                <c:pt idx="11">
                  <c:v>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1-4794-BE91-05CA2014D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644224"/>
        <c:axId val="750643744"/>
      </c:barChart>
      <c:catAx>
        <c:axId val="75064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643744"/>
        <c:crosses val="autoZero"/>
        <c:auto val="1"/>
        <c:lblAlgn val="ctr"/>
        <c:lblOffset val="100"/>
        <c:noMultiLvlLbl val="0"/>
      </c:catAx>
      <c:valAx>
        <c:axId val="75064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64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GRAPHS!$K$4</c:f>
              <c:strCache>
                <c:ptCount val="1"/>
                <c:pt idx="0">
                  <c:v>EMPLOYEE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CA-46EB-8F56-FF211CD342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CA-46EB-8F56-FF211CD342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CA-46EB-8F56-FF211CD342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CA-46EB-8F56-FF211CD342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BCA-46EB-8F56-FF211CD34213}"/>
              </c:ext>
            </c:extLst>
          </c:dPt>
          <c:cat>
            <c:strRef>
              <c:f>GRAPHS!$J$5:$J$9</c:f>
              <c:strCache>
                <c:ptCount val="5"/>
                <c:pt idx="0">
                  <c:v>IT</c:v>
                </c:pt>
                <c:pt idx="1">
                  <c:v>HR</c:v>
                </c:pt>
                <c:pt idx="2">
                  <c:v>SALES</c:v>
                </c:pt>
                <c:pt idx="3">
                  <c:v>FAINANCE</c:v>
                </c:pt>
                <c:pt idx="4">
                  <c:v>OPERATIONS</c:v>
                </c:pt>
              </c:strCache>
            </c:strRef>
          </c:cat>
          <c:val>
            <c:numRef>
              <c:f>GRAPHS!$K$5:$K$9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4-4F9C-BF39-E5BB217AF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jp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16212</xdr:rowOff>
    </xdr:from>
    <xdr:to>
      <xdr:col>1</xdr:col>
      <xdr:colOff>1084385</xdr:colOff>
      <xdr:row>3</xdr:row>
      <xdr:rowOff>3064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205257-235F-725D-861B-F65B97F6A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769" y="387443"/>
          <a:ext cx="1084385" cy="1351479"/>
        </a:xfrm>
        <a:prstGeom prst="rect">
          <a:avLst/>
        </a:prstGeom>
      </xdr:spPr>
    </xdr:pic>
    <xdr:clientData/>
  </xdr:twoCellAnchor>
  <xdr:twoCellAnchor editAs="oneCell">
    <xdr:from>
      <xdr:col>1</xdr:col>
      <xdr:colOff>20776</xdr:colOff>
      <xdr:row>3</xdr:row>
      <xdr:rowOff>13163</xdr:rowOff>
    </xdr:from>
    <xdr:to>
      <xdr:col>2</xdr:col>
      <xdr:colOff>18496</xdr:colOff>
      <xdr:row>3</xdr:row>
      <xdr:rowOff>1250709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552DD0-21DC-4845-5370-857BF874E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801" y="2000150"/>
          <a:ext cx="1088465" cy="1237546"/>
        </a:xfrm>
        <a:prstGeom prst="rect">
          <a:avLst/>
        </a:prstGeom>
      </xdr:spPr>
    </xdr:pic>
    <xdr:clientData/>
  </xdr:twoCellAnchor>
  <xdr:twoCellAnchor editAs="oneCell">
    <xdr:from>
      <xdr:col>1</xdr:col>
      <xdr:colOff>11376</xdr:colOff>
      <xdr:row>4</xdr:row>
      <xdr:rowOff>0</xdr:rowOff>
    </xdr:from>
    <xdr:to>
      <xdr:col>2</xdr:col>
      <xdr:colOff>11834</xdr:colOff>
      <xdr:row>4</xdr:row>
      <xdr:rowOff>1084384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94EE72-D6B8-DDB8-08D6-10EA8C57E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401" y="3269848"/>
          <a:ext cx="1082654" cy="10843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18619</xdr:colOff>
      <xdr:row>6</xdr:row>
      <xdr:rowOff>1246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FAFFE61-E15F-76AF-FD7B-3D2188D3E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769" y="4122615"/>
          <a:ext cx="1103923" cy="1084385"/>
        </a:xfrm>
        <a:prstGeom prst="rect">
          <a:avLst/>
        </a:prstGeom>
      </xdr:spPr>
    </xdr:pic>
    <xdr:clientData/>
  </xdr:twoCellAnchor>
  <xdr:twoCellAnchor editAs="oneCell">
    <xdr:from>
      <xdr:col>22</xdr:col>
      <xdr:colOff>136770</xdr:colOff>
      <xdr:row>9</xdr:row>
      <xdr:rowOff>429845</xdr:rowOff>
    </xdr:from>
    <xdr:to>
      <xdr:col>22</xdr:col>
      <xdr:colOff>184586</xdr:colOff>
      <xdr:row>9</xdr:row>
      <xdr:rowOff>475564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BAB995C-7DBC-8A5A-57ED-FDDC8063C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20388385" y="8870460"/>
          <a:ext cx="47816" cy="457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</xdr:col>
      <xdr:colOff>18619</xdr:colOff>
      <xdr:row>10</xdr:row>
      <xdr:rowOff>29308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9562006-FD5D-348C-7504-6C7F2BD41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769" y="8440615"/>
          <a:ext cx="1103923" cy="1123462"/>
        </a:xfrm>
        <a:prstGeom prst="rect">
          <a:avLst/>
        </a:prstGeom>
      </xdr:spPr>
    </xdr:pic>
    <xdr:clientData/>
  </xdr:twoCellAnchor>
  <xdr:twoCellAnchor editAs="oneCell">
    <xdr:from>
      <xdr:col>1</xdr:col>
      <xdr:colOff>9769</xdr:colOff>
      <xdr:row>11</xdr:row>
      <xdr:rowOff>11266</xdr:rowOff>
    </xdr:from>
    <xdr:to>
      <xdr:col>1</xdr:col>
      <xdr:colOff>1084384</xdr:colOff>
      <xdr:row>11</xdr:row>
      <xdr:rowOff>1250462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F24F32C-7D09-6685-23B3-593C426FC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538" y="10806266"/>
          <a:ext cx="1074615" cy="123919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13</xdr:row>
      <xdr:rowOff>19538</xdr:rowOff>
    </xdr:from>
    <xdr:to>
      <xdr:col>1</xdr:col>
      <xdr:colOff>1079751</xdr:colOff>
      <xdr:row>14</xdr:row>
      <xdr:rowOff>9768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8870AD6-3368-AF65-B664-6C5D6A730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770" y="13168923"/>
          <a:ext cx="1079750" cy="1279769"/>
        </a:xfrm>
        <a:prstGeom prst="rect">
          <a:avLst/>
        </a:prstGeom>
      </xdr:spPr>
    </xdr:pic>
    <xdr:clientData/>
  </xdr:twoCellAnchor>
  <xdr:twoCellAnchor editAs="oneCell">
    <xdr:from>
      <xdr:col>1</xdr:col>
      <xdr:colOff>19539</xdr:colOff>
      <xdr:row>7</xdr:row>
      <xdr:rowOff>19186</xdr:rowOff>
    </xdr:from>
    <xdr:to>
      <xdr:col>1</xdr:col>
      <xdr:colOff>1084385</xdr:colOff>
      <xdr:row>8</xdr:row>
      <xdr:rowOff>9768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6F4B92A-DF28-B79F-610C-EE5240855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308" y="6281263"/>
          <a:ext cx="1064846" cy="10456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28389</xdr:colOff>
      <xdr:row>7</xdr:row>
      <xdr:rowOff>9769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5E80A8F-0218-AC14-A499-E6A522F44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769" y="5207000"/>
          <a:ext cx="1113693" cy="10648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1084385</xdr:colOff>
      <xdr:row>8</xdr:row>
      <xdr:rowOff>1103923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7C32BDF-0202-47F1-141C-5FD669A4B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769" y="7317154"/>
          <a:ext cx="1084385" cy="110392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10</xdr:row>
      <xdr:rowOff>0</xdr:rowOff>
    </xdr:from>
    <xdr:to>
      <xdr:col>2</xdr:col>
      <xdr:colOff>8851</xdr:colOff>
      <xdr:row>10</xdr:row>
      <xdr:rowOff>1240693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37D3ED-B505-AC5B-D814-46D1BAA57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770" y="9534769"/>
          <a:ext cx="1094154" cy="1240693"/>
        </a:xfrm>
        <a:prstGeom prst="rect">
          <a:avLst/>
        </a:prstGeom>
      </xdr:spPr>
    </xdr:pic>
    <xdr:clientData/>
  </xdr:twoCellAnchor>
  <xdr:twoCellAnchor editAs="oneCell">
    <xdr:from>
      <xdr:col>1</xdr:col>
      <xdr:colOff>20899</xdr:colOff>
      <xdr:row>11</xdr:row>
      <xdr:rowOff>1250462</xdr:rowOff>
    </xdr:from>
    <xdr:to>
      <xdr:col>2</xdr:col>
      <xdr:colOff>22577</xdr:colOff>
      <xdr:row>13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2A1701-59A4-4497-9143-8562550F3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924" y="12294639"/>
          <a:ext cx="1092423" cy="11030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0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A8F35E-32AA-062F-F211-C542DF93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190500</xdr:colOff>
      <xdr:row>1</xdr:row>
      <xdr:rowOff>15240</xdr:rowOff>
    </xdr:from>
    <xdr:to>
      <xdr:col>16</xdr:col>
      <xdr:colOff>228600</xdr:colOff>
      <xdr:row>14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51484C-F074-99E0-EE96-6867F96E2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jasvi Vij" refreshedDate="45960.448613425928" createdVersion="8" refreshedVersion="8" minRefreshableVersion="3" recordCount="12" xr:uid="{AF8EE2F8-BFBF-40A9-A534-74EB520317EE}">
  <cacheSource type="worksheet">
    <worksheetSource ref="B2:J14" sheet="PAYROLL UPDATE"/>
  </cacheSource>
  <cacheFields count="9">
    <cacheField name="DEPARTMENT" numFmtId="0">
      <sharedItems count="6">
        <s v="Sales  "/>
        <s v="IT  "/>
        <s v="HR  "/>
        <s v="Finance  "/>
        <s v="Operations  "/>
        <s v="IT"/>
      </sharedItems>
    </cacheField>
    <cacheField name="PAYROLL" numFmtId="0">
      <sharedItems containsSemiMixedTypes="0" containsString="0" containsNumber="1" containsInteger="1" minValue="28000" maxValue="60000"/>
    </cacheField>
    <cacheField name="ALLOWENCE" numFmtId="0">
      <sharedItems containsSemiMixedTypes="0" containsString="0" containsNumber="1" containsInteger="1" minValue="6000" maxValue="18000"/>
    </cacheField>
    <cacheField name="DEDUCTIONS" numFmtId="0">
      <sharedItems containsSemiMixedTypes="0" containsString="0" containsNumber="1" containsInteger="1" minValue="1500" maxValue="5000"/>
    </cacheField>
    <cacheField name="NET SALARY" numFmtId="0">
      <sharedItems containsSemiMixedTypes="0" containsString="0" containsNumber="1" containsInteger="1" minValue="32500" maxValue="73000"/>
    </cacheField>
    <cacheField name="INCREMENT RATE" numFmtId="0">
      <sharedItems containsSemiMixedTypes="0" containsString="0" containsNumber="1" minValue="0.05" maxValue="0.1"/>
    </cacheField>
    <cacheField name="NEW PAYROLL " numFmtId="0">
      <sharedItems containsSemiMixedTypes="0" containsString="0" containsNumber="1" minValue="28014" maxValue="60048"/>
    </cacheField>
    <cacheField name="NEW NET SALARY " numFmtId="0">
      <sharedItems containsSemiMixedTypes="0" containsString="0" containsNumber="1" minValue="26514" maxValue="55048"/>
    </cacheField>
    <cacheField name="PAYROLL  INCRESE" numFmtId="0">
      <sharedItems containsSemiMixedTypes="0" containsString="0" containsNumber="1" minValue="14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32000"/>
    <n v="8000"/>
    <n v="2000"/>
    <n v="38000"/>
    <n v="0.08"/>
    <n v="32025.599999999999"/>
    <n v="30025.599999999999"/>
    <n v="25.599999999998545"/>
  </r>
  <r>
    <x v="1"/>
    <n v="45000"/>
    <n v="12000"/>
    <n v="3000"/>
    <n v="54000"/>
    <n v="0.1"/>
    <n v="45045"/>
    <n v="42045"/>
    <n v="45"/>
  </r>
  <r>
    <x v="2"/>
    <n v="28000"/>
    <n v="6000"/>
    <n v="1500"/>
    <n v="32500"/>
    <n v="0.05"/>
    <n v="28014"/>
    <n v="26514"/>
    <n v="14"/>
  </r>
  <r>
    <x v="3"/>
    <n v="50000"/>
    <n v="15000"/>
    <n v="4000"/>
    <n v="61000"/>
    <n v="7.0000000000000007E-2"/>
    <n v="50035"/>
    <n v="46035"/>
    <n v="35"/>
  </r>
  <r>
    <x v="4"/>
    <n v="35000"/>
    <n v="9000"/>
    <n v="2500"/>
    <n v="41500"/>
    <n v="0.06"/>
    <n v="35021"/>
    <n v="32521"/>
    <n v="21"/>
  </r>
  <r>
    <x v="0"/>
    <n v="60000"/>
    <n v="18000"/>
    <n v="5000"/>
    <n v="73000"/>
    <n v="0.08"/>
    <n v="60048"/>
    <n v="55048"/>
    <n v="48"/>
  </r>
  <r>
    <x v="1"/>
    <n v="30000"/>
    <n v="7000"/>
    <n v="2200"/>
    <n v="34800"/>
    <n v="0.1"/>
    <n v="30030"/>
    <n v="27830"/>
    <n v="30"/>
  </r>
  <r>
    <x v="2"/>
    <n v="40000"/>
    <n v="10000"/>
    <n v="2800"/>
    <n v="47200"/>
    <n v="0.05"/>
    <n v="40020"/>
    <n v="37220"/>
    <n v="20"/>
  </r>
  <r>
    <x v="3"/>
    <n v="55000"/>
    <n v="16000"/>
    <n v="4500"/>
    <n v="66500"/>
    <n v="7.0000000000000007E-2"/>
    <n v="55038.5"/>
    <n v="50538.5"/>
    <n v="38.5"/>
  </r>
  <r>
    <x v="4"/>
    <n v="37000"/>
    <n v="9500"/>
    <n v="2600"/>
    <n v="43900"/>
    <n v="0.06"/>
    <n v="37022.199999999997"/>
    <n v="34422.199999999997"/>
    <n v="22.19999999999709"/>
  </r>
  <r>
    <x v="0"/>
    <n v="48000"/>
    <n v="14000"/>
    <n v="3500"/>
    <n v="58500"/>
    <n v="0.08"/>
    <n v="48038.400000000001"/>
    <n v="44538.400000000001"/>
    <n v="38.400000000001455"/>
  </r>
  <r>
    <x v="5"/>
    <n v="42000"/>
    <n v="11000"/>
    <n v="2700"/>
    <n v="50300"/>
    <n v="0.1"/>
    <n v="42042"/>
    <n v="39342"/>
    <n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214A9-C7D1-46A4-B1BF-2B14237F160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0" firstDataRow="1" firstDataCol="1"/>
  <pivotFields count="9">
    <pivotField axis="axisRow" showAll="0">
      <items count="7">
        <item x="3"/>
        <item x="2"/>
        <item x="5"/>
        <item x="1"/>
        <item x="4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PAYROLL" fld="1" baseField="0" baseItem="0"/>
    <dataField name="Sum of ALLOWENCE" fld="2" baseField="0" baseItem="0"/>
    <dataField name="Sum of DEDUCTIONS" fld="3" baseField="0" baseItem="0"/>
    <dataField name="Sum of NET SALARY" fld="4" baseField="0" baseItem="0"/>
    <dataField name="Sum of INCREMENT RATE" fld="5" baseField="0" baseItem="0"/>
    <dataField name="Sum of NEW PAYROLL " fld="6" baseField="0" baseItem="0"/>
    <dataField name="Sum of NEW NET SALARY " fld="7" baseField="0" baseItem="0"/>
    <dataField name="Sum of PAYROLL  INCRES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C6118D-49FE-44BD-B967-C3F0E1C0FFC9}" name="Table35" displayName="Table35" ref="A2:L15" totalsRowShown="0" headerRowDxfId="4" dataDxfId="41" headerRowBorderDxfId="42" tableBorderDxfId="40" totalsRowBorderDxfId="39">
  <autoFilter ref="A2:L15" xr:uid="{6BC6118D-49FE-44BD-B967-C3F0E1C0FFC9}"/>
  <tableColumns count="12">
    <tableColumn id="1" xr3:uid="{EE04675D-806A-4BCF-A4AD-F2C5C2CB2C55}" name="EMPlOYEE IDs " dataDxfId="38"/>
    <tableColumn id="2" xr3:uid="{E5CE927E-A62D-4707-9008-A0C86CA2087B}" name="IMAGE" dataDxfId="37"/>
    <tableColumn id="3" xr3:uid="{AD4145A1-2B25-4467-A17D-B1F0CB42801D}" name="NAMES2" dataDxfId="36"/>
    <tableColumn id="4" xr3:uid="{800397E6-D223-4CD1-953A-417F07BB41EF}" name="DEPARTMENT" dataDxfId="35"/>
    <tableColumn id="5" xr3:uid="{B67AD949-39E7-4336-968A-AB96CDCA9DDE}" name="PAYROLL" dataDxfId="34"/>
    <tableColumn id="6" xr3:uid="{A0B29B55-51C5-4E1C-B9CD-07C301A026A5}" name="ALLOWENCE" dataDxfId="5"/>
    <tableColumn id="7" xr3:uid="{3CD26DEB-1C78-4F0D-A751-E0E8F3B01F71}" name="DEDUCTIONS" dataDxfId="33"/>
    <tableColumn id="8" xr3:uid="{95A8F9C9-5B05-4DC3-9588-7089D4966D9E}" name="PERFORMANCE SCORE" dataDxfId="32"/>
    <tableColumn id="9" xr3:uid="{EE5DF96B-3FFA-43D4-9825-679AE5DD675D}" name="WORK HOURS MONTH" dataDxfId="31"/>
    <tableColumn id="10" xr3:uid="{92753A81-E005-43F2-BA7C-AF672749B385}" name="NET SALARY " dataDxfId="30">
      <calculatedColumnFormula>E3+F3-G3</calculatedColumnFormula>
    </tableColumn>
    <tableColumn id="11" xr3:uid="{FEA9ECA2-B670-4CE7-AC1C-ED2325E95BEA}" name="HIGH PERFORMENCE" dataDxfId="29">
      <calculatedColumnFormula>IF(H3&gt;=8,"Yes","")</calculatedColumnFormula>
    </tableColumn>
    <tableColumn id="12" xr3:uid="{01771738-7507-4CCD-874F-E32E145E8A67}" name="RISK " dataDxfId="28">
      <calculatedColumnFormula>IF(H3&lt;7,"Yes","")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3960992-A15C-4761-984D-8043CE6478AF}" name="Table15" displayName="Table15" ref="G17:G18" totalsRowShown="0" headerRowDxfId="7" dataDxfId="6">
  <autoFilter ref="G17:G18" xr:uid="{E3960992-A15C-4761-984D-8043CE6478AF}"/>
  <tableColumns count="1">
    <tableColumn id="1" xr3:uid="{9C887A02-9DC5-4D9E-84EF-FF26E5D8EFB4}" name="CORELATION OF HOURS AND SALARY" dataDxfId="8">
      <calculatedColumnFormula>CORREL('Employee Master'!H3:H14,'Employee Master'!G3:G14)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6CA04E-5935-40FA-BDF5-FE8ECD0E17F6}" name="Table58" displayName="Table58" ref="A17:B22" totalsRowShown="0">
  <autoFilter ref="A17:B22" xr:uid="{566CA04E-5935-40FA-BDF5-FE8ECD0E17F6}"/>
  <tableColumns count="2">
    <tableColumn id="1" xr3:uid="{C7BA514C-A3D5-459D-82E2-85632655738B}" name="DEPARMENTS"/>
    <tableColumn id="2" xr3:uid="{75053EF6-76E0-4D06-8B29-7DBB3973E1B2}" name="INCREMENT RATE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60BEA82-E69D-4F18-AD9B-44CF85693ABC}" name="Table9" displayName="Table9" ref="A2:G15" totalsRowShown="0">
  <autoFilter ref="A2:G15" xr:uid="{E60BEA82-E69D-4F18-AD9B-44CF85693ABC}"/>
  <tableColumns count="7">
    <tableColumn id="1" xr3:uid="{72D2E9DA-C496-451B-8E30-BB8A1D30F6E2}" name="EMPlOYEE IDs" dataDxfId="27"/>
    <tableColumn id="2" xr3:uid="{C71C5E07-1058-41FF-AA97-A6D7CAB0CA0B}" name="DEPARTMENT" dataDxfId="26"/>
    <tableColumn id="3" xr3:uid="{0C645308-2A38-4891-AC86-56329250EC38}" name="PAYROLL" dataDxfId="25"/>
    <tableColumn id="4" xr3:uid="{FF4EB4CB-5AC4-49B0-B3BD-C8B19789E6C5}" name="ALLOWENCE" dataDxfId="24"/>
    <tableColumn id="5" xr3:uid="{718DB2A5-43F4-4657-AF0B-CA2E2B422400}" name="DEDUCTIONS" dataDxfId="23"/>
    <tableColumn id="6" xr3:uid="{03FC4D52-14E0-4B1A-AADC-215AF8376A8C}" name="NET SALARY" dataDxfId="22">
      <calculatedColumnFormula>C3+D3-E3</calculatedColumnFormula>
    </tableColumn>
    <tableColumn id="7" xr3:uid="{2D3689D6-D9F3-4487-982D-8D9D3FC1892D}" name="INCREMENT RATE" dataDxfId="21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82F959E-5996-4523-95F5-96569D81DC04}" name="Table11" displayName="Table11" ref="H2:J15" totalsRowCount="1">
  <autoFilter ref="H2:J14" xr:uid="{E82F959E-5996-4523-95F5-96569D81DC04}"/>
  <tableColumns count="3">
    <tableColumn id="1" xr3:uid="{EA618B8A-675B-4BFF-93BF-565F451D21F0}" name="NEW PAYROLL " totalsRowFunction="custom" dataDxfId="20" totalsRowDxfId="19">
      <calculatedColumnFormula>G3/100*C3+C3</calculatedColumnFormula>
      <totalsRowFormula>SUM(Table11[[NEW PAYROLL ]])</totalsRowFormula>
    </tableColumn>
    <tableColumn id="2" xr3:uid="{EDCA768E-8789-44B3-A93E-7E8331D4C038}" name="NEW NET SALARY " totalsRowFunction="custom" dataDxfId="18" totalsRowDxfId="17">
      <calculatedColumnFormula>H3-E3</calculatedColumnFormula>
      <totalsRowFormula>SUM(Table11[[NEW NET SALARY ]])</totalsRowFormula>
    </tableColumn>
    <tableColumn id="3" xr3:uid="{72ED21F1-EC67-43AA-8386-582BB19FB5E3}" name="PAYROLL  INCRESE" dataDxfId="16">
      <calculatedColumnFormula>Table11[[#This Row],[NEW PAYROLL ]]-Table9[[#This Row],[PAYROLL]]</calculatedColumnFormula>
    </tableColumn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A65DDED-6131-40D6-81EF-2D4D364EB7C4}" name="Table12" displayName="Table12" ref="AA43:AA44" insertRow="1" totalsRowShown="0" tableBorderDxfId="15">
  <autoFilter ref="AA43:AA44" xr:uid="{DA65DDED-6131-40D6-81EF-2D4D364EB7C4}"/>
  <tableColumns count="1">
    <tableColumn id="1" xr3:uid="{0584ECF2-DF28-4F3D-A22F-DB4AAC7C80F4}" name="Column1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70606CA-0AC0-4B82-B832-42A9F28646F0}" name="Table14" displayName="Table14" ref="G18:I19" totalsRowShown="0">
  <autoFilter ref="G18:I19" xr:uid="{370606CA-0AC0-4B82-B832-42A9F28646F0}"/>
  <tableColumns count="3">
    <tableColumn id="1" xr3:uid="{C4C3A668-D3BE-4F8D-B203-751BE9DC06DC}" name="MEAN">
      <calculatedColumnFormula>AVERAGE(Table11[[NEW NET SALARY ]])</calculatedColumnFormula>
    </tableColumn>
    <tableColumn id="2" xr3:uid="{933ADFFA-9BFB-4E4E-A3C7-D87A35460395}" name="MEDIAN">
      <calculatedColumnFormula>MEDIAN(Table11[[NEW NET SALARY ]])</calculatedColumnFormula>
    </tableColumn>
    <tableColumn id="3" xr3:uid="{FC96331E-D70A-452D-ABEA-9C30335745B3}" name="MODE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61BFC1-7806-4616-A8AE-D94205FBBBF6}" name="Table1" displayName="Table1" ref="A2:B14" totalsRowShown="0" headerRowDxfId="14" headerRowBorderDxfId="13" tableBorderDxfId="12" totalsRowBorderDxfId="11">
  <autoFilter ref="A2:B14" xr:uid="{2961BFC1-7806-4616-A8AE-D94205FBBBF6}"/>
  <tableColumns count="2">
    <tableColumn id="1" xr3:uid="{F3923AA6-ACBE-498F-BFFC-4965E911C8EA}" name="NAMES" dataDxfId="10"/>
    <tableColumn id="2" xr3:uid="{C76937E4-5C1F-46A6-AA63-F1D9C322CE54}" name="PAYROLL" dataDxfId="9"/>
  </tableColumns>
  <tableStyleInfo name="TableStyleMedium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CBB97F-416B-4545-9234-842CA4880A2E}" name="Table2" displayName="Table2" ref="J4:K9" totalsRowShown="0">
  <autoFilter ref="J4:K9" xr:uid="{99CBB97F-416B-4545-9234-842CA4880A2E}"/>
  <tableColumns count="2">
    <tableColumn id="1" xr3:uid="{18B7EB64-A8F7-4EF5-A28D-B9F764F0C450}" name="DEPARTMENT"/>
    <tableColumn id="2" xr3:uid="{9B07B454-3797-4B55-90C0-A1C753B88F56}" name="EMPLOYEE COUNT"/>
  </tableColumns>
  <tableStyleInfo name="TableStyleMedium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37ADBE-4452-47D0-B6E6-F2C731A32AA9}" name="Table3" displayName="Table3" ref="A2:B14" totalsRowShown="0" headerRowDxfId="3" dataDxfId="2">
  <autoFilter ref="A2:B14" xr:uid="{9837ADBE-4452-47D0-B6E6-F2C731A32AA9}"/>
  <tableColumns count="2">
    <tableColumn id="1" xr3:uid="{4FB08111-81B0-41DA-BA93-65D45C9B3C55}" name="NET SALARY" dataDxfId="1"/>
    <tableColumn id="2" xr3:uid="{B01DAF68-A55A-464E-88FF-5CA5BD59BB64}" name="NEW NET SALARY 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E272604-824B-424F-B370-8A6D10B5614A}">
  <we:reference id="wa200005502" version="1.0.0.12" store="en-IN" storeType="OMEX"/>
  <we:alternateReferences>
    <we:reference id="WA200005502" version="1.0.0.12" store="WA200005502" storeType="OMEX"/>
  </we:alternateReferences>
  <we:properties>
    <we:property name="docId" value="&quot;As_1_TQQQKEg-Y3VlTOZ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32FC-8426-47DF-8771-E7D964E97DD1}">
  <dimension ref="A1:M18"/>
  <sheetViews>
    <sheetView tabSelected="1" topLeftCell="A12" zoomScale="75" zoomScaleNormal="112" workbookViewId="0">
      <selection activeCell="G27" sqref="G27"/>
    </sheetView>
  </sheetViews>
  <sheetFormatPr defaultRowHeight="14.4" x14ac:dyDescent="0.3"/>
  <cols>
    <col min="1" max="1" width="28.44140625" customWidth="1"/>
    <col min="2" max="2" width="16" customWidth="1"/>
    <col min="3" max="3" width="14.6640625" customWidth="1"/>
    <col min="4" max="4" width="28.21875" customWidth="1"/>
    <col min="5" max="5" width="13.44140625" customWidth="1"/>
    <col min="6" max="6" width="17.33203125" customWidth="1"/>
    <col min="7" max="7" width="35.88671875" customWidth="1"/>
    <col min="8" max="9" width="28.21875" customWidth="1"/>
    <col min="10" max="10" width="18.44140625" customWidth="1"/>
    <col min="11" max="11" width="21.44140625" customWidth="1"/>
    <col min="12" max="12" width="12.77734375" customWidth="1"/>
  </cols>
  <sheetData>
    <row r="1" spans="1:13" ht="31.2" x14ac:dyDescent="0.6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</row>
    <row r="2" spans="1:13" ht="18" x14ac:dyDescent="0.35">
      <c r="A2" s="36" t="s">
        <v>1</v>
      </c>
      <c r="B2" s="37" t="s">
        <v>76</v>
      </c>
      <c r="C2" s="37" t="s">
        <v>75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37" t="s">
        <v>9</v>
      </c>
      <c r="K2" s="37" t="s">
        <v>10</v>
      </c>
      <c r="L2" s="37" t="s">
        <v>11</v>
      </c>
    </row>
    <row r="3" spans="1:13" ht="107.4" customHeight="1" x14ac:dyDescent="0.4">
      <c r="A3" s="21" t="s">
        <v>12</v>
      </c>
      <c r="B3" s="22"/>
      <c r="C3" s="22" t="s">
        <v>13</v>
      </c>
      <c r="D3" s="22" t="s">
        <v>14</v>
      </c>
      <c r="E3" s="22">
        <v>32000</v>
      </c>
      <c r="F3" s="22">
        <v>8000</v>
      </c>
      <c r="G3" s="25">
        <v>2000</v>
      </c>
      <c r="H3" s="22">
        <v>7</v>
      </c>
      <c r="I3" s="22" t="s">
        <v>78</v>
      </c>
      <c r="J3" s="22">
        <f t="shared" ref="J3:J15" si="0">E3+F3-G3</f>
        <v>38000</v>
      </c>
      <c r="K3" s="22" t="str">
        <f t="shared" ref="K3:K15" si="1">IF(H3&gt;=8,"Yes","")</f>
        <v/>
      </c>
      <c r="L3" s="23" t="str">
        <f t="shared" ref="L3:L15" si="2">IF(H3&lt;7,"Yes","")</f>
        <v/>
      </c>
    </row>
    <row r="4" spans="1:13" ht="100.8" customHeight="1" x14ac:dyDescent="0.4">
      <c r="A4" s="21" t="s">
        <v>15</v>
      </c>
      <c r="B4" s="22"/>
      <c r="C4" s="22" t="s">
        <v>16</v>
      </c>
      <c r="D4" s="22" t="s">
        <v>17</v>
      </c>
      <c r="E4" s="22">
        <v>45000</v>
      </c>
      <c r="F4" s="38">
        <v>12000</v>
      </c>
      <c r="G4" s="22">
        <v>3000</v>
      </c>
      <c r="H4" s="21">
        <v>9</v>
      </c>
      <c r="I4" s="22">
        <v>200</v>
      </c>
      <c r="J4" s="22">
        <f t="shared" si="0"/>
        <v>54000</v>
      </c>
      <c r="K4" s="22" t="str">
        <f t="shared" si="1"/>
        <v>Yes</v>
      </c>
      <c r="L4" s="22" t="str">
        <f t="shared" si="2"/>
        <v/>
      </c>
      <c r="M4" s="2"/>
    </row>
    <row r="5" spans="1:13" ht="87" customHeight="1" x14ac:dyDescent="0.4">
      <c r="A5" s="21" t="s">
        <v>18</v>
      </c>
      <c r="B5" s="22"/>
      <c r="C5" s="22" t="s">
        <v>19</v>
      </c>
      <c r="D5" s="22" t="s">
        <v>20</v>
      </c>
      <c r="E5" s="22">
        <v>28000</v>
      </c>
      <c r="F5" s="22">
        <v>6000</v>
      </c>
      <c r="G5" s="23">
        <v>1500</v>
      </c>
      <c r="H5" s="22">
        <v>6</v>
      </c>
      <c r="I5" s="22">
        <v>170</v>
      </c>
      <c r="J5" s="22">
        <f t="shared" si="0"/>
        <v>32500</v>
      </c>
      <c r="K5" s="22" t="str">
        <f t="shared" si="1"/>
        <v/>
      </c>
      <c r="L5" s="22"/>
    </row>
    <row r="6" spans="1:13" ht="85.2" customHeight="1" x14ac:dyDescent="0.4">
      <c r="A6" s="21" t="s">
        <v>21</v>
      </c>
      <c r="B6" s="22"/>
      <c r="C6" s="22" t="s">
        <v>22</v>
      </c>
      <c r="D6" s="22" t="s">
        <v>23</v>
      </c>
      <c r="E6" s="22">
        <v>50000</v>
      </c>
      <c r="F6" s="22">
        <v>15000</v>
      </c>
      <c r="G6" s="22">
        <v>4000</v>
      </c>
      <c r="H6" s="22">
        <v>8</v>
      </c>
      <c r="I6" s="22">
        <v>195</v>
      </c>
      <c r="J6" s="22">
        <f t="shared" si="0"/>
        <v>61000</v>
      </c>
      <c r="K6" s="22" t="str">
        <f t="shared" si="1"/>
        <v>Yes</v>
      </c>
      <c r="L6" s="22" t="str">
        <f t="shared" si="2"/>
        <v/>
      </c>
    </row>
    <row r="7" spans="1:13" ht="83.4" customHeight="1" x14ac:dyDescent="0.4">
      <c r="A7" s="21" t="s">
        <v>24</v>
      </c>
      <c r="B7" s="22"/>
      <c r="C7" s="22" t="s">
        <v>25</v>
      </c>
      <c r="D7" s="22" t="s">
        <v>14</v>
      </c>
      <c r="E7" s="22">
        <v>35000</v>
      </c>
      <c r="F7" s="22">
        <v>9000</v>
      </c>
      <c r="G7" s="22">
        <v>2500</v>
      </c>
      <c r="H7" s="22">
        <v>5</v>
      </c>
      <c r="I7" s="22">
        <v>160</v>
      </c>
      <c r="J7" s="22">
        <f t="shared" si="0"/>
        <v>41500</v>
      </c>
      <c r="K7" s="22" t="str">
        <f t="shared" si="1"/>
        <v/>
      </c>
      <c r="L7" s="22" t="str">
        <f t="shared" si="2"/>
        <v>Yes</v>
      </c>
    </row>
    <row r="8" spans="1:13" ht="82.8" customHeight="1" x14ac:dyDescent="0.4">
      <c r="A8" s="21" t="s">
        <v>26</v>
      </c>
      <c r="B8" s="22"/>
      <c r="C8" s="22" t="s">
        <v>27</v>
      </c>
      <c r="D8" s="22" t="s">
        <v>17</v>
      </c>
      <c r="E8" s="22">
        <v>60000</v>
      </c>
      <c r="F8" s="22">
        <v>18000</v>
      </c>
      <c r="G8" s="22">
        <v>5000</v>
      </c>
      <c r="H8" s="22">
        <v>8</v>
      </c>
      <c r="I8" s="22">
        <v>210</v>
      </c>
      <c r="J8" s="22">
        <f t="shared" si="0"/>
        <v>73000</v>
      </c>
      <c r="K8" s="22" t="str">
        <f t="shared" si="1"/>
        <v>Yes</v>
      </c>
      <c r="L8" s="22" t="str">
        <f t="shared" si="2"/>
        <v/>
      </c>
    </row>
    <row r="9" spans="1:13" ht="88.2" customHeight="1" x14ac:dyDescent="0.4">
      <c r="A9" s="21" t="s">
        <v>28</v>
      </c>
      <c r="B9" s="22"/>
      <c r="C9" s="22" t="s">
        <v>29</v>
      </c>
      <c r="D9" s="22" t="s">
        <v>20</v>
      </c>
      <c r="E9" s="22">
        <v>30000</v>
      </c>
      <c r="F9" s="22">
        <v>7000</v>
      </c>
      <c r="G9" s="22">
        <v>2000</v>
      </c>
      <c r="H9" s="22">
        <v>7</v>
      </c>
      <c r="I9" s="22">
        <v>175</v>
      </c>
      <c r="J9" s="22">
        <f t="shared" si="0"/>
        <v>35000</v>
      </c>
      <c r="K9" s="22" t="str">
        <f t="shared" si="1"/>
        <v/>
      </c>
      <c r="L9" s="22" t="str">
        <f t="shared" si="2"/>
        <v/>
      </c>
    </row>
    <row r="10" spans="1:13" ht="86.4" customHeight="1" x14ac:dyDescent="0.4">
      <c r="A10" s="21" t="s">
        <v>30</v>
      </c>
      <c r="B10" s="22"/>
      <c r="C10" s="22" t="s">
        <v>31</v>
      </c>
      <c r="D10" s="22" t="s">
        <v>32</v>
      </c>
      <c r="E10" s="22">
        <v>40000</v>
      </c>
      <c r="F10" s="22">
        <v>10000</v>
      </c>
      <c r="G10" s="22">
        <v>3000</v>
      </c>
      <c r="H10" s="22">
        <v>6</v>
      </c>
      <c r="I10" s="22">
        <v>185</v>
      </c>
      <c r="J10" s="22">
        <f t="shared" si="0"/>
        <v>47000</v>
      </c>
      <c r="K10" s="22" t="str">
        <f t="shared" si="1"/>
        <v/>
      </c>
      <c r="L10" s="22" t="str">
        <f t="shared" si="2"/>
        <v>Yes</v>
      </c>
    </row>
    <row r="11" spans="1:13" ht="99" customHeight="1" x14ac:dyDescent="0.4">
      <c r="A11" s="21" t="s">
        <v>33</v>
      </c>
      <c r="B11" s="22"/>
      <c r="C11" s="22" t="s">
        <v>34</v>
      </c>
      <c r="D11" s="22" t="s">
        <v>23</v>
      </c>
      <c r="E11" s="22">
        <v>55000</v>
      </c>
      <c r="F11" s="22">
        <v>16000</v>
      </c>
      <c r="G11" s="22">
        <v>4500</v>
      </c>
      <c r="H11" s="22">
        <v>9</v>
      </c>
      <c r="I11" s="22">
        <v>205</v>
      </c>
      <c r="J11" s="22">
        <f t="shared" si="0"/>
        <v>66500</v>
      </c>
      <c r="K11" s="22" t="str">
        <f t="shared" si="1"/>
        <v>Yes</v>
      </c>
      <c r="L11" s="22" t="str">
        <f t="shared" si="2"/>
        <v/>
      </c>
    </row>
    <row r="12" spans="1:13" ht="99" customHeight="1" x14ac:dyDescent="0.4">
      <c r="A12" s="21" t="s">
        <v>35</v>
      </c>
      <c r="B12" s="22"/>
      <c r="C12" s="22" t="s">
        <v>36</v>
      </c>
      <c r="D12" s="22" t="s">
        <v>14</v>
      </c>
      <c r="E12" s="22">
        <v>37000</v>
      </c>
      <c r="F12" s="22">
        <v>9500</v>
      </c>
      <c r="G12" s="22">
        <v>2200</v>
      </c>
      <c r="H12" s="22">
        <v>4</v>
      </c>
      <c r="I12" s="22">
        <v>150</v>
      </c>
      <c r="J12" s="22">
        <f t="shared" si="0"/>
        <v>44300</v>
      </c>
      <c r="K12" s="22" t="str">
        <f t="shared" si="1"/>
        <v/>
      </c>
      <c r="L12" s="22" t="str">
        <f t="shared" si="2"/>
        <v>Yes</v>
      </c>
    </row>
    <row r="13" spans="1:13" ht="86.4" customHeight="1" x14ac:dyDescent="0.4">
      <c r="A13" s="21" t="s">
        <v>37</v>
      </c>
      <c r="B13" s="22"/>
      <c r="C13" s="22" t="s">
        <v>38</v>
      </c>
      <c r="D13" s="22" t="s">
        <v>17</v>
      </c>
      <c r="E13" s="22">
        <v>48000</v>
      </c>
      <c r="F13" s="22">
        <v>14000</v>
      </c>
      <c r="G13" s="22">
        <v>3500</v>
      </c>
      <c r="H13" s="22">
        <v>8</v>
      </c>
      <c r="I13" s="22">
        <v>190</v>
      </c>
      <c r="J13" s="22">
        <f t="shared" si="0"/>
        <v>58500</v>
      </c>
      <c r="K13" s="22" t="str">
        <f t="shared" si="1"/>
        <v>Yes</v>
      </c>
      <c r="L13" s="22" t="str">
        <f t="shared" si="2"/>
        <v/>
      </c>
    </row>
    <row r="14" spans="1:13" ht="101.4" customHeight="1" x14ac:dyDescent="0.4">
      <c r="A14" s="21" t="s">
        <v>39</v>
      </c>
      <c r="B14" s="22"/>
      <c r="C14" s="22" t="s">
        <v>40</v>
      </c>
      <c r="D14" s="22" t="s">
        <v>32</v>
      </c>
      <c r="E14" s="22">
        <v>42000</v>
      </c>
      <c r="F14" s="22">
        <v>11000</v>
      </c>
      <c r="G14" s="22">
        <v>2800</v>
      </c>
      <c r="H14" s="22">
        <v>5</v>
      </c>
      <c r="I14" s="22">
        <v>175</v>
      </c>
      <c r="J14" s="22">
        <f t="shared" si="0"/>
        <v>50200</v>
      </c>
      <c r="K14" s="22" t="str">
        <f t="shared" si="1"/>
        <v/>
      </c>
      <c r="L14" s="22" t="str">
        <f t="shared" si="2"/>
        <v>Yes</v>
      </c>
    </row>
    <row r="15" spans="1:13" ht="21" x14ac:dyDescent="0.4">
      <c r="A15" s="24"/>
      <c r="B15" s="25"/>
      <c r="C15" s="25"/>
      <c r="D15" s="25"/>
      <c r="E15" s="25"/>
      <c r="F15" s="22"/>
      <c r="G15" s="25"/>
      <c r="H15" s="25"/>
      <c r="I15" s="25"/>
      <c r="J15" s="25">
        <f>SUM(J3:J14)</f>
        <v>601500</v>
      </c>
      <c r="K15" s="26" t="str">
        <f t="shared" si="1"/>
        <v/>
      </c>
      <c r="L15" s="25" t="str">
        <f t="shared" si="2"/>
        <v>Yes</v>
      </c>
    </row>
    <row r="16" spans="1:13" ht="21" x14ac:dyDescent="0.4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</row>
    <row r="17" spans="7:7" ht="25.8" x14ac:dyDescent="0.5">
      <c r="G17" s="30" t="s">
        <v>41</v>
      </c>
    </row>
    <row r="18" spans="7:7" ht="25.8" x14ac:dyDescent="0.5">
      <c r="G18" s="30">
        <f>CORREL('Employee Master'!H3:H14,'Employee Master'!G3:G14)</f>
        <v>0.60839831779583287</v>
      </c>
    </row>
  </sheetData>
  <mergeCells count="1">
    <mergeCell ref="A1:K1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5A62-9BCE-44A9-A831-041B5F078A20}">
  <dimension ref="A1:AA43"/>
  <sheetViews>
    <sheetView zoomScale="99" workbookViewId="0">
      <selection activeCell="G3" sqref="G3"/>
    </sheetView>
  </sheetViews>
  <sheetFormatPr defaultRowHeight="14.4" x14ac:dyDescent="0.3"/>
  <cols>
    <col min="1" max="1" width="17.88671875" customWidth="1"/>
    <col min="2" max="2" width="20.109375" customWidth="1"/>
    <col min="3" max="3" width="19.6640625" customWidth="1"/>
    <col min="4" max="4" width="17.5546875" customWidth="1"/>
    <col min="5" max="5" width="17.33203125" customWidth="1"/>
    <col min="6" max="6" width="17.5546875" customWidth="1"/>
    <col min="7" max="7" width="17.6640625" customWidth="1"/>
    <col min="8" max="8" width="19.6640625" customWidth="1"/>
    <col min="9" max="10" width="19.33203125" customWidth="1"/>
    <col min="11" max="12" width="8.88671875" customWidth="1"/>
  </cols>
  <sheetData>
    <row r="1" spans="1:10" ht="23.4" x14ac:dyDescent="0.45">
      <c r="A1" s="31" t="s">
        <v>49</v>
      </c>
      <c r="B1" s="32"/>
      <c r="C1" s="32"/>
      <c r="D1" s="32"/>
      <c r="E1" s="32"/>
      <c r="F1" s="32"/>
      <c r="G1" s="32"/>
      <c r="H1" s="32"/>
      <c r="I1" s="32"/>
      <c r="J1" s="33"/>
    </row>
    <row r="2" spans="1:10" ht="15" thickBot="1" x14ac:dyDescent="0.35">
      <c r="A2" t="s">
        <v>50</v>
      </c>
      <c r="B2" t="s">
        <v>3</v>
      </c>
      <c r="C2" t="s">
        <v>4</v>
      </c>
      <c r="D2" t="s">
        <v>5</v>
      </c>
      <c r="E2" t="s">
        <v>6</v>
      </c>
      <c r="F2" t="s">
        <v>51</v>
      </c>
      <c r="G2" t="s">
        <v>44</v>
      </c>
      <c r="H2" t="s">
        <v>52</v>
      </c>
      <c r="I2" t="s">
        <v>53</v>
      </c>
      <c r="J2" s="1" t="s">
        <v>54</v>
      </c>
    </row>
    <row r="3" spans="1:10" ht="15" thickTop="1" x14ac:dyDescent="0.3">
      <c r="A3" s="2" t="s">
        <v>12</v>
      </c>
      <c r="B3" s="2" t="s">
        <v>45</v>
      </c>
      <c r="C3" s="3">
        <v>32000</v>
      </c>
      <c r="D3" s="2">
        <v>8000</v>
      </c>
      <c r="E3" s="2">
        <v>2000</v>
      </c>
      <c r="F3" s="2">
        <f>C3+D3-E3</f>
        <v>38000</v>
      </c>
      <c r="G3" s="2">
        <f>VLOOKUP(B3,A16:B22,2,0)</f>
        <v>0.08</v>
      </c>
      <c r="H3" s="2">
        <f>G3/100*C3+C3</f>
        <v>32025.599999999999</v>
      </c>
      <c r="I3" s="2">
        <f t="shared" ref="I3:I14" si="0">H3-E3</f>
        <v>30025.599999999999</v>
      </c>
      <c r="J3" s="3">
        <f>Table11[[#This Row],[NEW PAYROLL ]]-Table9[[#This Row],[PAYROLL]]</f>
        <v>25.599999999998545</v>
      </c>
    </row>
    <row r="4" spans="1:10" x14ac:dyDescent="0.3">
      <c r="A4" s="2" t="s">
        <v>15</v>
      </c>
      <c r="B4" s="2" t="s">
        <v>46</v>
      </c>
      <c r="C4" s="4">
        <v>45000</v>
      </c>
      <c r="D4" s="2">
        <v>12000</v>
      </c>
      <c r="E4" s="2">
        <v>3000</v>
      </c>
      <c r="F4" s="2">
        <f t="shared" ref="F4:F14" si="1">C4+D4-E4</f>
        <v>54000</v>
      </c>
      <c r="G4" s="2">
        <f>VLOOKUP(B4,A16:B22,2,0)</f>
        <v>0.1</v>
      </c>
      <c r="H4" s="2">
        <f t="shared" ref="H4:H14" si="2">G4/100*C4+C4</f>
        <v>45045</v>
      </c>
      <c r="I4" s="2">
        <f t="shared" si="0"/>
        <v>42045</v>
      </c>
      <c r="J4" s="3">
        <f>Table11[[#This Row],[NEW PAYROLL ]]-Table9[[#This Row],[PAYROLL]]</f>
        <v>45</v>
      </c>
    </row>
    <row r="5" spans="1:10" x14ac:dyDescent="0.3">
      <c r="A5" s="2" t="s">
        <v>18</v>
      </c>
      <c r="B5" s="2" t="s">
        <v>47</v>
      </c>
      <c r="C5" s="3">
        <v>28000</v>
      </c>
      <c r="D5" s="2">
        <v>6000</v>
      </c>
      <c r="E5" s="2">
        <v>1500</v>
      </c>
      <c r="F5" s="2">
        <f t="shared" si="1"/>
        <v>32500</v>
      </c>
      <c r="G5" s="2">
        <f>VLOOKUP(B5,A16:B22,2,0)</f>
        <v>0.05</v>
      </c>
      <c r="H5" s="2">
        <f t="shared" si="2"/>
        <v>28014</v>
      </c>
      <c r="I5" s="2">
        <f t="shared" si="0"/>
        <v>26514</v>
      </c>
      <c r="J5" s="3">
        <f>Table11[[#This Row],[NEW PAYROLL ]]-Table9[[#This Row],[PAYROLL]]</f>
        <v>14</v>
      </c>
    </row>
    <row r="6" spans="1:10" x14ac:dyDescent="0.3">
      <c r="A6" s="2" t="s">
        <v>21</v>
      </c>
      <c r="B6" s="2" t="s">
        <v>48</v>
      </c>
      <c r="C6" s="4">
        <v>50000</v>
      </c>
      <c r="D6" s="2">
        <v>15000</v>
      </c>
      <c r="E6" s="2">
        <v>4000</v>
      </c>
      <c r="F6" s="2">
        <f t="shared" si="1"/>
        <v>61000</v>
      </c>
      <c r="G6" s="2">
        <f>VLOOKUP(B6,A16:B22,2,0)</f>
        <v>7.0000000000000007E-2</v>
      </c>
      <c r="H6" s="2">
        <f t="shared" si="2"/>
        <v>50035</v>
      </c>
      <c r="I6" s="2">
        <f t="shared" si="0"/>
        <v>46035</v>
      </c>
      <c r="J6" s="3">
        <f>Table11[[#This Row],[NEW PAYROLL ]]-Table9[[#This Row],[PAYROLL]]</f>
        <v>35</v>
      </c>
    </row>
    <row r="7" spans="1:10" x14ac:dyDescent="0.3">
      <c r="A7" s="2" t="s">
        <v>24</v>
      </c>
      <c r="B7" s="2" t="s">
        <v>55</v>
      </c>
      <c r="C7" s="3">
        <v>35000</v>
      </c>
      <c r="D7" s="2">
        <v>9000</v>
      </c>
      <c r="E7" s="2">
        <v>2500</v>
      </c>
      <c r="F7" s="2">
        <f t="shared" si="1"/>
        <v>41500</v>
      </c>
      <c r="G7" s="2">
        <v>0.06</v>
      </c>
      <c r="H7" s="2">
        <f t="shared" si="2"/>
        <v>35021</v>
      </c>
      <c r="I7" s="2">
        <f t="shared" si="0"/>
        <v>32521</v>
      </c>
      <c r="J7" s="3">
        <f>Table11[[#This Row],[NEW PAYROLL ]]-Table9[[#This Row],[PAYROLL]]</f>
        <v>21</v>
      </c>
    </row>
    <row r="8" spans="1:10" x14ac:dyDescent="0.3">
      <c r="A8" s="2" t="s">
        <v>26</v>
      </c>
      <c r="B8" s="2" t="s">
        <v>45</v>
      </c>
      <c r="C8" s="4">
        <v>60000</v>
      </c>
      <c r="D8" s="2">
        <v>18000</v>
      </c>
      <c r="E8" s="2">
        <v>5000</v>
      </c>
      <c r="F8" s="2">
        <f t="shared" si="1"/>
        <v>73000</v>
      </c>
      <c r="G8" s="2">
        <f>VLOOKUP(B8,A16:B22,2,0)</f>
        <v>0.08</v>
      </c>
      <c r="H8" s="2">
        <f t="shared" si="2"/>
        <v>60048</v>
      </c>
      <c r="I8" s="2">
        <f t="shared" si="0"/>
        <v>55048</v>
      </c>
      <c r="J8" s="3">
        <f>Table11[[#This Row],[NEW PAYROLL ]]-Table9[[#This Row],[PAYROLL]]</f>
        <v>48</v>
      </c>
    </row>
    <row r="9" spans="1:10" x14ac:dyDescent="0.3">
      <c r="A9" s="2" t="s">
        <v>28</v>
      </c>
      <c r="B9" s="2" t="s">
        <v>46</v>
      </c>
      <c r="C9" s="3">
        <v>30000</v>
      </c>
      <c r="D9" s="2">
        <v>7000</v>
      </c>
      <c r="E9" s="2">
        <v>2200</v>
      </c>
      <c r="F9" s="2">
        <f t="shared" si="1"/>
        <v>34800</v>
      </c>
      <c r="G9" s="2">
        <f>VLOOKUP(B9,A16:B22,2,0)</f>
        <v>0.1</v>
      </c>
      <c r="H9" s="2">
        <f t="shared" si="2"/>
        <v>30030</v>
      </c>
      <c r="I9" s="2">
        <f t="shared" si="0"/>
        <v>27830</v>
      </c>
      <c r="J9" s="3">
        <f>Table11[[#This Row],[NEW PAYROLL ]]-Table9[[#This Row],[PAYROLL]]</f>
        <v>30</v>
      </c>
    </row>
    <row r="10" spans="1:10" x14ac:dyDescent="0.3">
      <c r="A10" s="2" t="s">
        <v>30</v>
      </c>
      <c r="B10" s="2" t="s">
        <v>47</v>
      </c>
      <c r="C10" s="4">
        <v>40000</v>
      </c>
      <c r="D10" s="2">
        <v>10000</v>
      </c>
      <c r="E10" s="2">
        <v>2800</v>
      </c>
      <c r="F10" s="2">
        <f t="shared" si="1"/>
        <v>47200</v>
      </c>
      <c r="G10" s="2">
        <f>VLOOKUP(B10,A16:B22,2,0)</f>
        <v>0.05</v>
      </c>
      <c r="H10" s="2">
        <f t="shared" si="2"/>
        <v>40020</v>
      </c>
      <c r="I10" s="2">
        <f t="shared" si="0"/>
        <v>37220</v>
      </c>
      <c r="J10" s="3">
        <f>Table11[[#This Row],[NEW PAYROLL ]]-Table9[[#This Row],[PAYROLL]]</f>
        <v>20</v>
      </c>
    </row>
    <row r="11" spans="1:10" x14ac:dyDescent="0.3">
      <c r="A11" s="2" t="s">
        <v>33</v>
      </c>
      <c r="B11" s="2" t="s">
        <v>48</v>
      </c>
      <c r="C11" s="3">
        <v>55000</v>
      </c>
      <c r="D11" s="2">
        <v>16000</v>
      </c>
      <c r="E11" s="2">
        <v>4500</v>
      </c>
      <c r="F11" s="2">
        <f t="shared" si="1"/>
        <v>66500</v>
      </c>
      <c r="G11" s="2">
        <f>VLOOKUP(B11,A16:B22,2,0)</f>
        <v>7.0000000000000007E-2</v>
      </c>
      <c r="H11" s="2">
        <f t="shared" si="2"/>
        <v>55038.5</v>
      </c>
      <c r="I11" s="2">
        <f t="shared" si="0"/>
        <v>50538.5</v>
      </c>
      <c r="J11" s="3">
        <f>Table11[[#This Row],[NEW PAYROLL ]]-Table9[[#This Row],[PAYROLL]]</f>
        <v>38.5</v>
      </c>
    </row>
    <row r="12" spans="1:10" x14ac:dyDescent="0.3">
      <c r="A12" s="2" t="s">
        <v>35</v>
      </c>
      <c r="B12" s="2" t="s">
        <v>55</v>
      </c>
      <c r="C12" s="4">
        <v>37000</v>
      </c>
      <c r="D12" s="2">
        <v>9500</v>
      </c>
      <c r="E12" s="2">
        <v>2600</v>
      </c>
      <c r="F12" s="2">
        <f t="shared" si="1"/>
        <v>43900</v>
      </c>
      <c r="G12" s="2">
        <v>0.06</v>
      </c>
      <c r="H12" s="2">
        <f t="shared" si="2"/>
        <v>37022.199999999997</v>
      </c>
      <c r="I12" s="2">
        <f t="shared" si="0"/>
        <v>34422.199999999997</v>
      </c>
      <c r="J12" s="3">
        <f>Table11[[#This Row],[NEW PAYROLL ]]-Table9[[#This Row],[PAYROLL]]</f>
        <v>22.19999999999709</v>
      </c>
    </row>
    <row r="13" spans="1:10" x14ac:dyDescent="0.3">
      <c r="A13" s="2" t="s">
        <v>37</v>
      </c>
      <c r="B13" s="2" t="s">
        <v>45</v>
      </c>
      <c r="C13" s="3">
        <v>48000</v>
      </c>
      <c r="D13" s="2">
        <v>14000</v>
      </c>
      <c r="E13" s="2">
        <v>3500</v>
      </c>
      <c r="F13" s="2">
        <f t="shared" si="1"/>
        <v>58500</v>
      </c>
      <c r="G13" s="2">
        <f>VLOOKUP(B13,A16:B22,2,0)</f>
        <v>0.08</v>
      </c>
      <c r="H13" s="2">
        <f t="shared" si="2"/>
        <v>48038.400000000001</v>
      </c>
      <c r="I13" s="2">
        <f t="shared" si="0"/>
        <v>44538.400000000001</v>
      </c>
      <c r="J13" s="3">
        <f>Table11[[#This Row],[NEW PAYROLL ]]-Table9[[#This Row],[PAYROLL]]</f>
        <v>38.400000000001455</v>
      </c>
    </row>
    <row r="14" spans="1:10" x14ac:dyDescent="0.3">
      <c r="A14" s="2" t="s">
        <v>39</v>
      </c>
      <c r="B14" s="2" t="s">
        <v>17</v>
      </c>
      <c r="C14" s="4">
        <v>42000</v>
      </c>
      <c r="D14" s="2">
        <v>11000</v>
      </c>
      <c r="E14" s="2">
        <v>2700</v>
      </c>
      <c r="F14" s="2">
        <f t="shared" si="1"/>
        <v>50300</v>
      </c>
      <c r="G14" s="2">
        <v>0.1</v>
      </c>
      <c r="H14" s="5">
        <f t="shared" si="2"/>
        <v>42042</v>
      </c>
      <c r="I14" s="2">
        <f t="shared" si="0"/>
        <v>39342</v>
      </c>
      <c r="J14" s="3">
        <f>Table11[[#This Row],[NEW PAYROLL ]]-Table9[[#This Row],[PAYROLL]]</f>
        <v>42</v>
      </c>
    </row>
    <row r="15" spans="1:10" x14ac:dyDescent="0.3">
      <c r="A15" s="5" t="s">
        <v>56</v>
      </c>
      <c r="B15" s="5"/>
      <c r="C15" s="6">
        <f>SUM(C3,C5,C4,C7:C14)</f>
        <v>452000</v>
      </c>
      <c r="D15" s="5"/>
      <c r="E15" s="5"/>
      <c r="F15" s="5">
        <f>SUM(F3:F14)</f>
        <v>601200</v>
      </c>
      <c r="G15" s="5"/>
      <c r="H15" s="7">
        <f>SUM(Table11[[NEW PAYROLL ]])</f>
        <v>502379.7</v>
      </c>
      <c r="I15" s="8">
        <f>SUM(Table11[[NEW NET SALARY ]])</f>
        <v>466079.7</v>
      </c>
    </row>
    <row r="16" spans="1:10" x14ac:dyDescent="0.3">
      <c r="A16" s="28" t="s">
        <v>42</v>
      </c>
      <c r="B16" s="29"/>
    </row>
    <row r="17" spans="1:9" x14ac:dyDescent="0.3">
      <c r="A17" t="s">
        <v>43</v>
      </c>
      <c r="B17" t="s">
        <v>44</v>
      </c>
    </row>
    <row r="18" spans="1:9" x14ac:dyDescent="0.3">
      <c r="A18" t="s">
        <v>45</v>
      </c>
      <c r="B18">
        <v>0.08</v>
      </c>
      <c r="G18" t="s">
        <v>57</v>
      </c>
      <c r="H18" t="s">
        <v>58</v>
      </c>
      <c r="I18" t="s">
        <v>59</v>
      </c>
    </row>
    <row r="19" spans="1:9" x14ac:dyDescent="0.3">
      <c r="A19" t="s">
        <v>46</v>
      </c>
      <c r="B19">
        <v>0.1</v>
      </c>
      <c r="G19">
        <f>AVERAGE(Table11[[NEW NET SALARY ]])</f>
        <v>38839.974999999999</v>
      </c>
      <c r="H19">
        <f>MEDIAN(Table11[[NEW NET SALARY ]])</f>
        <v>38281</v>
      </c>
      <c r="I19" s="9">
        <v>38281</v>
      </c>
    </row>
    <row r="20" spans="1:9" x14ac:dyDescent="0.3">
      <c r="A20" t="s">
        <v>47</v>
      </c>
      <c r="B20">
        <v>0.05</v>
      </c>
    </row>
    <row r="21" spans="1:9" x14ac:dyDescent="0.3">
      <c r="A21" t="s">
        <v>48</v>
      </c>
      <c r="B21">
        <v>7.0000000000000007E-2</v>
      </c>
    </row>
    <row r="22" spans="1:9" x14ac:dyDescent="0.3">
      <c r="A22" t="s">
        <v>32</v>
      </c>
      <c r="B22">
        <v>0.06</v>
      </c>
    </row>
    <row r="43" spans="27:27" x14ac:dyDescent="0.3">
      <c r="AA43" t="s">
        <v>61</v>
      </c>
    </row>
  </sheetData>
  <mergeCells count="3">
    <mergeCell ref="A16:B16"/>
    <mergeCell ref="A1:G1"/>
    <mergeCell ref="H1:I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7B4E-920B-4DF9-BF45-E2D1E39A42B5}">
  <dimension ref="A1:I10"/>
  <sheetViews>
    <sheetView zoomScale="102" zoomScaleNormal="179" workbookViewId="0">
      <selection activeCell="F22" sqref="F22"/>
    </sheetView>
  </sheetViews>
  <sheetFormatPr defaultRowHeight="14.4" x14ac:dyDescent="0.3"/>
  <cols>
    <col min="1" max="1" width="12.5546875" bestFit="1" customWidth="1"/>
    <col min="2" max="2" width="15.109375" bestFit="1" customWidth="1"/>
    <col min="3" max="3" width="18.21875" bestFit="1" customWidth="1"/>
    <col min="4" max="4" width="18.77734375" bestFit="1" customWidth="1"/>
    <col min="5" max="5" width="17.88671875" bestFit="1" customWidth="1"/>
    <col min="6" max="6" width="22.77734375" bestFit="1" customWidth="1"/>
    <col min="7" max="7" width="20.21875" bestFit="1" customWidth="1"/>
    <col min="8" max="8" width="23" bestFit="1" customWidth="1"/>
    <col min="9" max="9" width="23.33203125" bestFit="1" customWidth="1"/>
  </cols>
  <sheetData>
    <row r="1" spans="1:9" x14ac:dyDescent="0.3">
      <c r="A1" s="42" t="s">
        <v>79</v>
      </c>
      <c r="B1" s="41"/>
      <c r="C1" s="41"/>
      <c r="D1" s="41"/>
      <c r="E1" s="41"/>
      <c r="F1" s="41"/>
      <c r="G1" s="41"/>
      <c r="H1" s="41"/>
      <c r="I1" s="41"/>
    </row>
    <row r="2" spans="1:9" x14ac:dyDescent="0.3">
      <c r="A2" s="41"/>
      <c r="B2" s="41"/>
      <c r="C2" s="41"/>
      <c r="D2" s="41"/>
      <c r="E2" s="41"/>
      <c r="F2" s="41"/>
      <c r="G2" s="41"/>
      <c r="H2" s="41"/>
      <c r="I2" s="41"/>
    </row>
    <row r="3" spans="1:9" x14ac:dyDescent="0.3">
      <c r="A3" s="19" t="s">
        <v>65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</row>
    <row r="4" spans="1:9" x14ac:dyDescent="0.3">
      <c r="A4" s="20" t="s">
        <v>48</v>
      </c>
      <c r="B4">
        <v>105000</v>
      </c>
      <c r="C4">
        <v>31000</v>
      </c>
      <c r="D4">
        <v>8500</v>
      </c>
      <c r="E4">
        <v>127500</v>
      </c>
      <c r="F4">
        <v>0.14000000000000001</v>
      </c>
      <c r="G4">
        <v>105073.5</v>
      </c>
      <c r="H4">
        <v>96573.5</v>
      </c>
      <c r="I4">
        <v>73.5</v>
      </c>
    </row>
    <row r="5" spans="1:9" x14ac:dyDescent="0.3">
      <c r="A5" s="20" t="s">
        <v>47</v>
      </c>
      <c r="B5">
        <v>68000</v>
      </c>
      <c r="C5">
        <v>16000</v>
      </c>
      <c r="D5">
        <v>4300</v>
      </c>
      <c r="E5">
        <v>79700</v>
      </c>
      <c r="F5">
        <v>0.1</v>
      </c>
      <c r="G5">
        <v>68034</v>
      </c>
      <c r="H5">
        <v>63734</v>
      </c>
      <c r="I5">
        <v>34</v>
      </c>
    </row>
    <row r="6" spans="1:9" x14ac:dyDescent="0.3">
      <c r="A6" s="20" t="s">
        <v>17</v>
      </c>
      <c r="B6">
        <v>42000</v>
      </c>
      <c r="C6">
        <v>11000</v>
      </c>
      <c r="D6">
        <v>2700</v>
      </c>
      <c r="E6">
        <v>50300</v>
      </c>
      <c r="F6">
        <v>0.1</v>
      </c>
      <c r="G6">
        <v>42042</v>
      </c>
      <c r="H6">
        <v>39342</v>
      </c>
      <c r="I6">
        <v>42</v>
      </c>
    </row>
    <row r="7" spans="1:9" x14ac:dyDescent="0.3">
      <c r="A7" s="20" t="s">
        <v>46</v>
      </c>
      <c r="B7">
        <v>75000</v>
      </c>
      <c r="C7">
        <v>19000</v>
      </c>
      <c r="D7">
        <v>5200</v>
      </c>
      <c r="E7">
        <v>88800</v>
      </c>
      <c r="F7">
        <v>0.2</v>
      </c>
      <c r="G7">
        <v>75075</v>
      </c>
      <c r="H7">
        <v>69875</v>
      </c>
      <c r="I7">
        <v>75</v>
      </c>
    </row>
    <row r="8" spans="1:9" x14ac:dyDescent="0.3">
      <c r="A8" s="20" t="s">
        <v>55</v>
      </c>
      <c r="B8">
        <v>72000</v>
      </c>
      <c r="C8">
        <v>18500</v>
      </c>
      <c r="D8">
        <v>5100</v>
      </c>
      <c r="E8">
        <v>85400</v>
      </c>
      <c r="F8">
        <v>0.12</v>
      </c>
      <c r="G8">
        <v>72043.199999999997</v>
      </c>
      <c r="H8">
        <v>66943.199999999997</v>
      </c>
      <c r="I8">
        <v>43.19999999999709</v>
      </c>
    </row>
    <row r="9" spans="1:9" x14ac:dyDescent="0.3">
      <c r="A9" s="20" t="s">
        <v>45</v>
      </c>
      <c r="B9">
        <v>140000</v>
      </c>
      <c r="C9">
        <v>40000</v>
      </c>
      <c r="D9">
        <v>10500</v>
      </c>
      <c r="E9">
        <v>169500</v>
      </c>
      <c r="F9">
        <v>0.24</v>
      </c>
      <c r="G9">
        <v>140112</v>
      </c>
      <c r="H9">
        <v>129612</v>
      </c>
      <c r="I9">
        <v>112</v>
      </c>
    </row>
    <row r="10" spans="1:9" x14ac:dyDescent="0.3">
      <c r="A10" s="20" t="s">
        <v>66</v>
      </c>
      <c r="B10">
        <v>502000</v>
      </c>
      <c r="C10">
        <v>135500</v>
      </c>
      <c r="D10">
        <v>36300</v>
      </c>
      <c r="E10">
        <v>601200</v>
      </c>
      <c r="F10">
        <v>0.9</v>
      </c>
      <c r="G10">
        <v>502379.7</v>
      </c>
      <c r="H10">
        <v>466079.7</v>
      </c>
      <c r="I10">
        <v>379.69999999999709</v>
      </c>
    </row>
  </sheetData>
  <mergeCells count="1">
    <mergeCell ref="A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3F76-F396-419E-B1F3-2EC149BCA9A5}">
  <dimension ref="A1:Y39"/>
  <sheetViews>
    <sheetView workbookViewId="0">
      <selection activeCell="J16" sqref="J16"/>
    </sheetView>
  </sheetViews>
  <sheetFormatPr defaultRowHeight="14.4" x14ac:dyDescent="0.3"/>
  <cols>
    <col min="1" max="1" width="11" customWidth="1"/>
    <col min="2" max="2" width="13.21875" customWidth="1"/>
    <col min="4" max="4" width="15.21875" customWidth="1"/>
    <col min="5" max="5" width="18.6640625" customWidth="1"/>
    <col min="8" max="8" width="10.21875" customWidth="1"/>
    <col min="9" max="9" width="1.88671875" customWidth="1"/>
    <col min="10" max="10" width="15.33203125" customWidth="1"/>
    <col min="11" max="11" width="18.6640625" customWidth="1"/>
    <col min="15" max="15" width="16.6640625" customWidth="1"/>
    <col min="16" max="16" width="18" customWidth="1"/>
  </cols>
  <sheetData>
    <row r="1" spans="1:25" x14ac:dyDescent="0.3">
      <c r="C1" s="18"/>
      <c r="D1" s="18"/>
      <c r="E1" s="18"/>
      <c r="F1" s="18"/>
      <c r="G1" s="18"/>
      <c r="H1" s="18"/>
      <c r="I1" s="39"/>
      <c r="J1" s="18"/>
      <c r="K1" s="18"/>
      <c r="L1" s="18"/>
      <c r="M1" s="18"/>
      <c r="N1" s="18"/>
      <c r="O1" s="18"/>
      <c r="P1" s="18"/>
      <c r="Q1" s="18"/>
    </row>
    <row r="2" spans="1:25" x14ac:dyDescent="0.3">
      <c r="A2" s="14" t="s">
        <v>2</v>
      </c>
      <c r="B2" s="15" t="s">
        <v>4</v>
      </c>
      <c r="C2" s="18"/>
      <c r="I2" s="39"/>
      <c r="J2" s="18"/>
      <c r="K2" s="18"/>
      <c r="L2" s="18"/>
      <c r="M2" s="18"/>
      <c r="N2" s="18"/>
      <c r="O2" s="18"/>
      <c r="P2" s="18"/>
      <c r="Q2" s="18"/>
    </row>
    <row r="3" spans="1:25" x14ac:dyDescent="0.3">
      <c r="A3" s="10" t="s">
        <v>13</v>
      </c>
      <c r="B3" s="12">
        <v>32000</v>
      </c>
      <c r="C3" s="18"/>
      <c r="I3" s="39"/>
      <c r="J3" s="18"/>
      <c r="K3" s="18"/>
      <c r="L3" s="18"/>
      <c r="M3" s="18"/>
      <c r="N3" s="18"/>
      <c r="O3" s="18"/>
      <c r="P3" s="18"/>
      <c r="Q3" s="18"/>
    </row>
    <row r="4" spans="1:25" x14ac:dyDescent="0.3">
      <c r="A4" s="11" t="s">
        <v>16</v>
      </c>
      <c r="B4" s="13">
        <v>45000</v>
      </c>
      <c r="C4" s="18"/>
      <c r="I4" s="39"/>
      <c r="J4" t="s">
        <v>3</v>
      </c>
      <c r="K4" t="s">
        <v>77</v>
      </c>
      <c r="L4" s="18"/>
      <c r="M4" s="18"/>
      <c r="N4" s="18"/>
      <c r="O4" s="18"/>
      <c r="P4" s="18"/>
      <c r="Q4" s="18"/>
    </row>
    <row r="5" spans="1:25" x14ac:dyDescent="0.3">
      <c r="A5" s="10" t="s">
        <v>19</v>
      </c>
      <c r="B5" s="12">
        <v>28000</v>
      </c>
      <c r="C5" s="18"/>
      <c r="I5" s="39"/>
      <c r="J5" t="s">
        <v>17</v>
      </c>
      <c r="K5">
        <v>3</v>
      </c>
      <c r="L5" s="18"/>
      <c r="M5" s="18"/>
      <c r="N5" s="18"/>
      <c r="O5" s="18"/>
      <c r="P5" s="18"/>
      <c r="Q5" s="18"/>
    </row>
    <row r="6" spans="1:25" x14ac:dyDescent="0.3">
      <c r="A6" s="11" t="s">
        <v>22</v>
      </c>
      <c r="B6" s="13">
        <v>50000</v>
      </c>
      <c r="C6" s="18"/>
      <c r="I6" s="39"/>
      <c r="J6" t="s">
        <v>20</v>
      </c>
      <c r="K6">
        <v>2</v>
      </c>
      <c r="L6" s="18"/>
      <c r="M6" s="18"/>
      <c r="N6" s="18"/>
      <c r="O6" s="18"/>
      <c r="P6" s="18"/>
      <c r="Q6" s="18"/>
    </row>
    <row r="7" spans="1:25" x14ac:dyDescent="0.3">
      <c r="A7" s="10" t="s">
        <v>25</v>
      </c>
      <c r="B7" s="12">
        <v>35000</v>
      </c>
      <c r="C7" s="18"/>
      <c r="I7" s="39"/>
      <c r="J7" t="s">
        <v>62</v>
      </c>
      <c r="K7">
        <v>3</v>
      </c>
      <c r="L7" s="18"/>
      <c r="M7" s="18"/>
      <c r="N7" s="18"/>
      <c r="O7" s="18"/>
      <c r="P7" s="18"/>
      <c r="Q7" s="18"/>
    </row>
    <row r="8" spans="1:25" x14ac:dyDescent="0.3">
      <c r="A8" s="11" t="s">
        <v>27</v>
      </c>
      <c r="B8" s="13">
        <v>60000</v>
      </c>
      <c r="C8" s="18"/>
      <c r="I8" s="39"/>
      <c r="J8" t="s">
        <v>60</v>
      </c>
      <c r="K8">
        <v>2</v>
      </c>
      <c r="L8" s="18"/>
      <c r="M8" s="18"/>
      <c r="N8" s="18"/>
      <c r="O8" s="18"/>
      <c r="P8" s="18"/>
      <c r="Q8" s="18"/>
    </row>
    <row r="9" spans="1:25" x14ac:dyDescent="0.3">
      <c r="A9" s="10" t="s">
        <v>29</v>
      </c>
      <c r="B9" s="12">
        <v>30000</v>
      </c>
      <c r="C9" s="18"/>
      <c r="I9" s="39"/>
      <c r="J9" t="s">
        <v>63</v>
      </c>
      <c r="K9">
        <v>2</v>
      </c>
      <c r="L9" s="18"/>
      <c r="M9" s="18"/>
      <c r="N9" s="18"/>
      <c r="O9" s="18"/>
      <c r="P9" s="18"/>
      <c r="Q9" s="18"/>
    </row>
    <row r="10" spans="1:25" x14ac:dyDescent="0.3">
      <c r="A10" s="11" t="s">
        <v>31</v>
      </c>
      <c r="B10" s="13">
        <v>40000</v>
      </c>
      <c r="C10" s="18"/>
      <c r="I10" s="39"/>
      <c r="J10" s="18"/>
      <c r="K10" s="18"/>
      <c r="L10" s="18"/>
      <c r="M10" s="18"/>
      <c r="N10" s="18"/>
      <c r="O10" s="18"/>
      <c r="P10" s="18"/>
      <c r="Q10" s="18"/>
    </row>
    <row r="11" spans="1:25" x14ac:dyDescent="0.3">
      <c r="A11" s="10" t="s">
        <v>34</v>
      </c>
      <c r="B11" s="12">
        <v>55000</v>
      </c>
      <c r="C11" s="18"/>
      <c r="I11" s="39"/>
      <c r="J11" s="18"/>
      <c r="K11" s="18"/>
      <c r="L11" s="18"/>
      <c r="M11" s="18"/>
      <c r="N11" s="18"/>
      <c r="O11" s="18"/>
      <c r="P11" s="18"/>
      <c r="Q11" s="18"/>
    </row>
    <row r="12" spans="1:25" x14ac:dyDescent="0.3">
      <c r="A12" s="11" t="s">
        <v>36</v>
      </c>
      <c r="B12" s="13">
        <v>37000</v>
      </c>
      <c r="C12" s="18"/>
      <c r="I12" s="39"/>
      <c r="J12" s="18"/>
      <c r="K12" s="18"/>
      <c r="L12" s="18"/>
      <c r="M12" s="18"/>
      <c r="N12" s="18"/>
      <c r="O12" s="18"/>
      <c r="P12" s="18"/>
      <c r="Q12" s="18"/>
    </row>
    <row r="13" spans="1:25" x14ac:dyDescent="0.3">
      <c r="A13" s="10" t="s">
        <v>38</v>
      </c>
      <c r="B13" s="12">
        <v>48000</v>
      </c>
      <c r="C13" s="18"/>
      <c r="I13" s="39"/>
      <c r="J13" s="18"/>
      <c r="K13" s="18"/>
      <c r="L13" s="18"/>
      <c r="M13" s="18"/>
      <c r="N13" s="18"/>
      <c r="O13" s="18"/>
      <c r="P13" s="18"/>
      <c r="Q13" s="18"/>
    </row>
    <row r="14" spans="1:25" x14ac:dyDescent="0.3">
      <c r="A14" s="16" t="s">
        <v>40</v>
      </c>
      <c r="B14" s="17">
        <v>42000</v>
      </c>
      <c r="C14" s="18"/>
      <c r="I14" s="39"/>
      <c r="J14" s="18"/>
      <c r="K14" s="18"/>
      <c r="L14" s="18"/>
      <c r="M14" s="18"/>
      <c r="N14" s="18"/>
      <c r="O14" s="18"/>
      <c r="P14" s="18"/>
      <c r="Q14" s="18"/>
    </row>
    <row r="15" spans="1:25" x14ac:dyDescent="0.3">
      <c r="C15" s="18"/>
      <c r="I15" s="39"/>
      <c r="J15" s="18"/>
      <c r="K15" s="18"/>
    </row>
    <row r="16" spans="1:25" x14ac:dyDescent="0.3">
      <c r="A16" s="18"/>
      <c r="B16" s="18"/>
      <c r="C16" s="18"/>
      <c r="D16" s="18"/>
      <c r="E16" s="18"/>
      <c r="F16" s="18"/>
      <c r="G16" s="18"/>
      <c r="H16" s="18"/>
      <c r="I16" s="39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x14ac:dyDescent="0.3">
      <c r="A17" s="18"/>
      <c r="B17" s="18"/>
      <c r="C17" s="18"/>
      <c r="D17" s="18"/>
      <c r="E17" s="18"/>
      <c r="F17" s="18"/>
      <c r="G17" s="18"/>
      <c r="H17" s="18"/>
      <c r="I17" s="39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x14ac:dyDescent="0.3">
      <c r="A18" s="18"/>
      <c r="B18" s="18"/>
      <c r="C18" s="18"/>
      <c r="D18" s="18"/>
      <c r="E18" s="18"/>
      <c r="F18" s="18"/>
      <c r="G18" s="18"/>
      <c r="H18" s="18"/>
      <c r="I18" s="39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x14ac:dyDescent="0.3">
      <c r="A19" s="18"/>
      <c r="B19" s="18"/>
      <c r="C19" s="18"/>
      <c r="D19" s="18"/>
      <c r="E19" s="18"/>
      <c r="F19" s="18"/>
      <c r="G19" s="18"/>
      <c r="H19" s="18"/>
      <c r="I19" s="39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x14ac:dyDescent="0.3">
      <c r="A20" s="18"/>
      <c r="B20" s="18"/>
      <c r="C20" s="18"/>
      <c r="D20" s="18"/>
      <c r="E20" s="18"/>
      <c r="F20" s="18"/>
      <c r="G20" s="18"/>
      <c r="H20" s="18"/>
      <c r="I20" s="39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x14ac:dyDescent="0.3">
      <c r="A21" s="18"/>
      <c r="B21" s="18"/>
      <c r="C21" s="18"/>
      <c r="D21" s="18"/>
      <c r="E21" s="18"/>
      <c r="F21" s="18"/>
      <c r="G21" s="18"/>
      <c r="H21" s="18"/>
      <c r="I21" s="39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x14ac:dyDescent="0.3">
      <c r="A22" s="18"/>
      <c r="B22" s="18"/>
      <c r="C22" s="18"/>
      <c r="D22" s="18"/>
      <c r="E22" s="18"/>
      <c r="F22" s="18"/>
      <c r="G22" s="18"/>
      <c r="H22" s="18"/>
      <c r="I22" s="39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x14ac:dyDescent="0.3">
      <c r="A23" s="18"/>
      <c r="B23" s="18"/>
      <c r="C23" s="18"/>
      <c r="D23" s="18"/>
      <c r="E23" s="18"/>
      <c r="F23" s="18"/>
      <c r="G23" s="18"/>
      <c r="H23" s="18"/>
      <c r="I23" s="39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x14ac:dyDescent="0.3">
      <c r="A24" s="18"/>
      <c r="B24" s="18"/>
      <c r="C24" s="18"/>
      <c r="D24" s="18"/>
      <c r="E24" s="18"/>
      <c r="F24" s="18"/>
      <c r="G24" s="18"/>
      <c r="H24" s="18"/>
      <c r="I24" s="39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x14ac:dyDescent="0.3">
      <c r="A25" s="18"/>
      <c r="B25" s="18"/>
      <c r="C25" s="18"/>
      <c r="D25" s="18"/>
      <c r="E25" s="18"/>
      <c r="F25" s="18"/>
      <c r="G25" s="18"/>
      <c r="H25" s="18"/>
      <c r="I25" s="39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x14ac:dyDescent="0.3">
      <c r="A26" s="18"/>
      <c r="B26" s="18"/>
      <c r="C26" s="18"/>
      <c r="D26" s="18"/>
      <c r="E26" s="18"/>
      <c r="F26" s="18"/>
      <c r="G26" s="18"/>
      <c r="H26" s="18"/>
      <c r="I26" s="39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x14ac:dyDescent="0.3">
      <c r="A27" s="18"/>
      <c r="B27" s="18"/>
      <c r="C27" s="18"/>
      <c r="D27" s="18"/>
      <c r="E27" s="18"/>
      <c r="F27" s="18"/>
      <c r="G27" s="18"/>
      <c r="H27" s="18"/>
      <c r="I27" s="39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71FDB-DB84-4C5E-AE8E-92A8C2039635}">
  <dimension ref="A1:B14"/>
  <sheetViews>
    <sheetView workbookViewId="0">
      <selection activeCell="E13" sqref="E13"/>
    </sheetView>
  </sheetViews>
  <sheetFormatPr defaultRowHeight="14.4" x14ac:dyDescent="0.3"/>
  <cols>
    <col min="1" max="1" width="21.21875" customWidth="1"/>
    <col min="2" max="2" width="30.109375" customWidth="1"/>
  </cols>
  <sheetData>
    <row r="1" spans="1:2" x14ac:dyDescent="0.3">
      <c r="A1" s="28" t="s">
        <v>64</v>
      </c>
      <c r="B1" s="29"/>
    </row>
    <row r="2" spans="1:2" ht="23.4" x14ac:dyDescent="0.45">
      <c r="A2" s="40" t="s">
        <v>51</v>
      </c>
      <c r="B2" s="40" t="s">
        <v>53</v>
      </c>
    </row>
    <row r="3" spans="1:2" ht="23.4" x14ac:dyDescent="0.45">
      <c r="A3" s="40">
        <v>38000</v>
      </c>
      <c r="B3" s="40">
        <v>30025.599999999999</v>
      </c>
    </row>
    <row r="4" spans="1:2" ht="23.4" x14ac:dyDescent="0.45">
      <c r="A4" s="40">
        <v>54000</v>
      </c>
      <c r="B4" s="40">
        <v>42045</v>
      </c>
    </row>
    <row r="5" spans="1:2" ht="23.4" x14ac:dyDescent="0.45">
      <c r="A5" s="40">
        <v>32500</v>
      </c>
      <c r="B5" s="40">
        <v>26514</v>
      </c>
    </row>
    <row r="6" spans="1:2" ht="23.4" x14ac:dyDescent="0.45">
      <c r="A6" s="40">
        <v>61000</v>
      </c>
      <c r="B6" s="40">
        <v>46035</v>
      </c>
    </row>
    <row r="7" spans="1:2" ht="23.4" x14ac:dyDescent="0.45">
      <c r="A7" s="40">
        <v>41500</v>
      </c>
      <c r="B7" s="40">
        <v>32521</v>
      </c>
    </row>
    <row r="8" spans="1:2" ht="23.4" x14ac:dyDescent="0.45">
      <c r="A8" s="40">
        <v>73000</v>
      </c>
      <c r="B8" s="40">
        <v>55048</v>
      </c>
    </row>
    <row r="9" spans="1:2" ht="23.4" x14ac:dyDescent="0.45">
      <c r="A9" s="40">
        <v>34800</v>
      </c>
      <c r="B9" s="40">
        <v>27830</v>
      </c>
    </row>
    <row r="10" spans="1:2" ht="23.4" x14ac:dyDescent="0.45">
      <c r="A10" s="40">
        <v>47200</v>
      </c>
      <c r="B10" s="40">
        <v>37220</v>
      </c>
    </row>
    <row r="11" spans="1:2" ht="23.4" x14ac:dyDescent="0.45">
      <c r="A11" s="40">
        <v>66500</v>
      </c>
      <c r="B11" s="40">
        <v>50538.5</v>
      </c>
    </row>
    <row r="12" spans="1:2" ht="23.4" x14ac:dyDescent="0.45">
      <c r="A12" s="40">
        <v>43900</v>
      </c>
      <c r="B12" s="40">
        <v>34422.199999999997</v>
      </c>
    </row>
    <row r="13" spans="1:2" ht="23.4" x14ac:dyDescent="0.45">
      <c r="A13" s="40">
        <v>58500</v>
      </c>
      <c r="B13" s="40">
        <v>44538.400000000001</v>
      </c>
    </row>
    <row r="14" spans="1:2" ht="23.4" x14ac:dyDescent="0.45">
      <c r="A14" s="40">
        <v>50300</v>
      </c>
      <c r="B14" s="40">
        <v>39342</v>
      </c>
    </row>
  </sheetData>
  <mergeCells count="1">
    <mergeCell ref="A1:B1"/>
  </mergeCells>
  <conditionalFormatting sqref="A2:B14">
    <cfRule type="colorScale" priority="1">
      <colorScale>
        <cfvo type="min"/>
        <cfvo type="max"/>
        <color rgb="FFFF0000"/>
        <color rgb="FF00B050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Master</vt:lpstr>
      <vt:lpstr>PAYROLL UPDATE</vt:lpstr>
      <vt:lpstr>PIVOT TABLE</vt:lpstr>
      <vt:lpstr>GRAPHS</vt:lpstr>
      <vt:lpstr>SALARY VISUALISATION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Tejasvi Vij</dc:creator>
  <cp:keywords/>
  <dc:description/>
  <cp:lastModifiedBy>Tejasvi Vij</cp:lastModifiedBy>
  <cp:revision/>
  <dcterms:created xsi:type="dcterms:W3CDTF">2025-10-29T08:13:16Z</dcterms:created>
  <dcterms:modified xsi:type="dcterms:W3CDTF">2025-10-31T10:21:26Z</dcterms:modified>
  <cp:category/>
  <cp:contentStatus/>
</cp:coreProperties>
</file>